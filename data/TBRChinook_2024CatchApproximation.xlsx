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peacock/Library/CloudStorage/Dropbox-SalmonWatersheds/Stephanie Peacock/X Drive/1_PROJECTS/1_Active/State of Salmon/2_Data &amp; Analysis/state-of-salmon/data/"/>
    </mc:Choice>
  </mc:AlternateContent>
  <xr:revisionPtr revIDLastSave="0" documentId="13_ncr:1_{A8B3F93C-8788-9342-92CE-205007475868}" xr6:coauthVersionLast="47" xr6:coauthVersionMax="47" xr10:uidLastSave="{00000000-0000-0000-0000-000000000000}"/>
  <bookViews>
    <workbookView xWindow="38920" yWindow="3640" windowWidth="25640" windowHeight="14440" xr2:uid="{57D777E3-8A27-8C4F-B039-EC92A3CDB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4" i="1"/>
  <c r="C4" i="1"/>
  <c r="H6" i="1"/>
  <c r="H7" i="1" s="1"/>
  <c r="C5" i="1"/>
  <c r="D5" i="1"/>
</calcChain>
</file>

<file path=xl/sharedStrings.xml><?xml version="1.0" encoding="utf-8"?>
<sst xmlns="http://schemas.openxmlformats.org/spreadsheetml/2006/main" count="16" uniqueCount="16">
  <si>
    <t>river</t>
  </si>
  <si>
    <t>year</t>
  </si>
  <si>
    <t>us_catch</t>
  </si>
  <si>
    <t>cdn_catch</t>
  </si>
  <si>
    <t>stikine</t>
  </si>
  <si>
    <t>taku</t>
  </si>
  <si>
    <t>source</t>
  </si>
  <si>
    <t>TTCAppB12</t>
  </si>
  <si>
    <t>TTCAppD7</t>
  </si>
  <si>
    <t>alsek</t>
  </si>
  <si>
    <t>TTC AppE5</t>
  </si>
  <si>
    <t>US catch use max of past 5 years</t>
  </si>
  <si>
    <t>average 5-year ER from synopitc eval = 0.0414</t>
  </si>
  <si>
    <t>Alsek escapement in 2024 = 4771</t>
  </si>
  <si>
    <t xml:space="preserve">Assumed run size using avg er </t>
  </si>
  <si>
    <t>Assumed 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</si>
</sst>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D380-830D-1846-8267-E77B1EDEE83A}">
  <dimension ref="A1:H7"/>
  <sheetViews>
    <sheetView tabSelected="1" workbookViewId="0">
      <selection activeCell="E6" sqref="E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8" x14ac:dyDescent="0.2">
      <c r="A2" t="s">
        <v>4</v>
      </c>
      <c r="B2">
        <v>2024</v>
      </c>
      <c r="C2">
        <v>37</v>
      </c>
      <c r="D2">
        <v>49</v>
      </c>
      <c r="E2" t="s">
        <v>7</v>
      </c>
    </row>
    <row r="3" spans="1:8" x14ac:dyDescent="0.2">
      <c r="A3" t="s">
        <v>5</v>
      </c>
      <c r="B3">
        <v>2024</v>
      </c>
      <c r="C3">
        <v>374</v>
      </c>
      <c r="D3">
        <v>22</v>
      </c>
      <c r="E3" t="s">
        <v>8</v>
      </c>
    </row>
    <row r="4" spans="1:8" x14ac:dyDescent="0.2">
      <c r="A4" t="s">
        <v>9</v>
      </c>
      <c r="B4">
        <v>2024</v>
      </c>
      <c r="C4" s="1">
        <f>187+8</f>
        <v>195</v>
      </c>
      <c r="D4" s="1">
        <f>40</f>
        <v>40</v>
      </c>
      <c r="E4" t="s">
        <v>10</v>
      </c>
      <c r="F4" t="s">
        <v>11</v>
      </c>
      <c r="H4" t="s">
        <v>12</v>
      </c>
    </row>
    <row r="5" spans="1:8" x14ac:dyDescent="0.2">
      <c r="C5" s="2">
        <f>SUM(C2:C4)</f>
        <v>606</v>
      </c>
      <c r="D5" s="2">
        <f>SUM(D2:D4)</f>
        <v>111</v>
      </c>
      <c r="E5" s="2">
        <f>SUM(C5:D5)</f>
        <v>717</v>
      </c>
      <c r="F5" t="s">
        <v>13</v>
      </c>
    </row>
    <row r="6" spans="1:8" x14ac:dyDescent="0.2">
      <c r="F6" t="s">
        <v>14</v>
      </c>
      <c r="H6">
        <f>4771/(1-0.0414)</f>
        <v>4977.0498643855626</v>
      </c>
    </row>
    <row r="7" spans="1:8" x14ac:dyDescent="0.2">
      <c r="F7" t="s">
        <v>15</v>
      </c>
      <c r="H7">
        <f>H6-4771</f>
        <v>206.04986438556261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Peacock</dc:creator>
  <cp:lastModifiedBy>Stephanie Peacock</cp:lastModifiedBy>
  <dcterms:created xsi:type="dcterms:W3CDTF">2025-07-11T21:10:03Z</dcterms:created>
  <dcterms:modified xsi:type="dcterms:W3CDTF">2025-07-14T20:45:55Z</dcterms:modified>
</cp:coreProperties>
</file>