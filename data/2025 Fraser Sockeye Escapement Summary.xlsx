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hunter\Documents\state-of-salmon\data\"/>
    </mc:Choice>
  </mc:AlternateContent>
  <xr:revisionPtr revIDLastSave="0" documentId="13_ncr:1_{246BAAB4-77D3-4093-B302-EC620033B8C6}" xr6:coauthVersionLast="47" xr6:coauthVersionMax="47" xr10:uidLastSave="{00000000-0000-0000-0000-000000000000}"/>
  <bookViews>
    <workbookView xWindow="9675" yWindow="-16320" windowWidth="29040" windowHeight="15720" activeTab="1" xr2:uid="{5CBD14C9-09D6-46F2-907C-766AD998DCF3}"/>
  </bookViews>
  <sheets>
    <sheet name="Table" sheetId="1" r:id="rId1"/>
    <sheet name="Summary_HH"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11" i="2"/>
  <c r="C10" i="2"/>
  <c r="C9" i="2"/>
  <c r="C8" i="2"/>
  <c r="C7" i="2"/>
  <c r="C6" i="2"/>
  <c r="C5" i="2"/>
  <c r="C4" i="2"/>
  <c r="C3" i="2"/>
  <c r="C2" i="2"/>
  <c r="C1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DFO Employee</author>
  </authors>
  <commentList>
    <comment ref="B199" authorId="0" shapeId="0" xr:uid="{B5FA5D34-6347-4497-A953-128994219FF9}">
      <text>
        <r>
          <rPr>
            <b/>
            <sz val="8"/>
            <color indexed="81"/>
            <rFont val="Tahoma"/>
            <family val="2"/>
          </rPr>
          <t xml:space="preserve">Moved to Summer Run (2012)
</t>
        </r>
        <r>
          <rPr>
            <sz val="8"/>
            <color indexed="81"/>
            <rFont val="Tahoma"/>
            <family val="2"/>
          </rPr>
          <t xml:space="preserve">
</t>
        </r>
      </text>
    </comment>
    <comment ref="B200" authorId="0" shapeId="0" xr:uid="{7E08AA85-920B-4501-8D16-937E4F62A056}">
      <text>
        <r>
          <rPr>
            <b/>
            <sz val="8"/>
            <color indexed="81"/>
            <rFont val="Tahoma"/>
            <family val="2"/>
          </rPr>
          <t>Moved to Summer Run (2012)</t>
        </r>
        <r>
          <rPr>
            <sz val="8"/>
            <color indexed="81"/>
            <rFont val="Tahoma"/>
            <family val="2"/>
          </rPr>
          <t xml:space="preserve">
</t>
        </r>
      </text>
    </comment>
    <comment ref="B201" authorId="0" shapeId="0" xr:uid="{1524BBA8-F4A0-41BF-AFC9-BD864EBAFEA6}">
      <text>
        <r>
          <rPr>
            <b/>
            <sz val="8"/>
            <color indexed="81"/>
            <rFont val="Tahoma"/>
            <family val="2"/>
          </rPr>
          <t>Moved to Summer Run (2012)</t>
        </r>
        <r>
          <rPr>
            <sz val="8"/>
            <color indexed="81"/>
            <rFont val="Tahoma"/>
            <family val="2"/>
          </rPr>
          <t xml:space="preserve">
</t>
        </r>
      </text>
    </comment>
    <comment ref="B202" authorId="0" shapeId="0" xr:uid="{3543F84F-0CD9-4225-9FF0-52E0F5ED25ED}">
      <text>
        <r>
          <rPr>
            <sz val="8"/>
            <color indexed="81"/>
            <rFont val="Tahoma"/>
            <family val="2"/>
          </rPr>
          <t xml:space="preserve">Moved to Summer Run (2012)
</t>
        </r>
      </text>
    </comment>
    <comment ref="B203" authorId="0" shapeId="0" xr:uid="{149524D2-7CC4-4ED1-BF6A-F39987D96B6B}">
      <text>
        <r>
          <rPr>
            <b/>
            <sz val="8"/>
            <color indexed="81"/>
            <rFont val="Tahoma"/>
            <family val="2"/>
          </rPr>
          <t>Moved to Summer Run (2012)</t>
        </r>
      </text>
    </comment>
    <comment ref="B204" authorId="0" shapeId="0" xr:uid="{1EF531DE-796A-41F1-8333-BDAFC11FABEF}">
      <text>
        <r>
          <rPr>
            <b/>
            <sz val="8"/>
            <color indexed="81"/>
            <rFont val="Tahoma"/>
            <family val="2"/>
          </rPr>
          <t>Moved to Summer Run (2012)</t>
        </r>
        <r>
          <rPr>
            <sz val="8"/>
            <color indexed="81"/>
            <rFont val="Tahoma"/>
            <family val="2"/>
          </rPr>
          <t xml:space="preserve">
</t>
        </r>
      </text>
    </comment>
    <comment ref="B308" authorId="0" shapeId="0" xr:uid="{1C655E0F-F733-4136-86F9-B76400DC236B}">
      <text>
        <r>
          <rPr>
            <b/>
            <sz val="8"/>
            <color indexed="81"/>
            <rFont val="Tahoma"/>
            <family val="2"/>
          </rPr>
          <t>Moved to Fraser-ES (extirpated)</t>
        </r>
      </text>
    </comment>
    <comment ref="B314" authorId="0" shapeId="0" xr:uid="{B216133F-EC98-4E7A-BACE-396BB26A4F8B}">
      <text>
        <r>
          <rPr>
            <b/>
            <sz val="8"/>
            <color indexed="81"/>
            <rFont val="Tahoma"/>
            <family val="2"/>
          </rPr>
          <t>Moved to Nadina-Francois-ES</t>
        </r>
      </text>
    </comment>
  </commentList>
</comments>
</file>

<file path=xl/sharedStrings.xml><?xml version="1.0" encoding="utf-8"?>
<sst xmlns="http://schemas.openxmlformats.org/spreadsheetml/2006/main" count="582" uniqueCount="420">
  <si>
    <t>TABLE 1. 2025 NEAR FINAL FRASER RIVER SOCKEYE SALMON ESCAPEMENT SUMMARY</t>
  </si>
  <si>
    <t xml:space="preserve">WATERSHED AREA / </t>
  </si>
  <si>
    <t>PEAK</t>
  </si>
  <si>
    <t>TOTAL</t>
  </si>
  <si>
    <t>%</t>
  </si>
  <si>
    <t>EFFECTIVE</t>
  </si>
  <si>
    <t>CONSERVATION UNIT</t>
  </si>
  <si>
    <t>SPAWNING</t>
  </si>
  <si>
    <t>POPULATION</t>
  </si>
  <si>
    <t xml:space="preserve"> ADULTS</t>
  </si>
  <si>
    <t>JACKS</t>
  </si>
  <si>
    <t>MALES</t>
  </si>
  <si>
    <t>FEMALES</t>
  </si>
  <si>
    <t>SPAWN</t>
  </si>
  <si>
    <t>REMARKS</t>
  </si>
  <si>
    <t>LOWER FRASER</t>
  </si>
  <si>
    <t>Chilliwack-ES</t>
  </si>
  <si>
    <t>Chilliwack Lake</t>
  </si>
  <si>
    <t>Chilliwack River, upper (Dolly Varden Creek)</t>
  </si>
  <si>
    <t>Aug. 19-25, 2025.</t>
  </si>
  <si>
    <t>Depot Creek</t>
  </si>
  <si>
    <t>Paleface Creek</t>
  </si>
  <si>
    <t>Sub-total:</t>
  </si>
  <si>
    <t>Cultus-L</t>
  </si>
  <si>
    <t>Cultus Lake</t>
  </si>
  <si>
    <t>Estimate does not include 203 Sockeye taken for broodstock.</t>
  </si>
  <si>
    <t>Nahatlatch-ES</t>
  </si>
  <si>
    <t>Nahatlatch Lake</t>
  </si>
  <si>
    <t>Aug. 28 - Sep. 3, 2025.</t>
  </si>
  <si>
    <t>Nahatlatch River</t>
  </si>
  <si>
    <t>Sep. 4-11, 2025.</t>
  </si>
  <si>
    <t>Pitt-ES</t>
  </si>
  <si>
    <t>0.0%</t>
  </si>
  <si>
    <t>Sep. 4-10, 2025.</t>
  </si>
  <si>
    <t>Fish Hatchery Creek</t>
  </si>
  <si>
    <t>Pitt River, upper</t>
  </si>
  <si>
    <t>Sep. 5-11, 2025.</t>
  </si>
  <si>
    <t>Sep. 8-12, 2025.</t>
  </si>
  <si>
    <t>Widgeon (River-Type)</t>
  </si>
  <si>
    <t>Widgeon Slough</t>
  </si>
  <si>
    <t>Nov. 12-18, 2025.</t>
  </si>
  <si>
    <t>AREA TOTAL:</t>
  </si>
  <si>
    <t>HARRISON-LILLOOET</t>
  </si>
  <si>
    <t>Lillooet-Harrison-L</t>
  </si>
  <si>
    <t>Birkenhead River</t>
  </si>
  <si>
    <t>Sep. 18-28, 2025.</t>
  </si>
  <si>
    <t xml:space="preserve">Sex ratio assumed, spawn success approximated using recent 20-year average. </t>
  </si>
  <si>
    <t>Green River</t>
  </si>
  <si>
    <t>Joffre Creek</t>
  </si>
  <si>
    <t>Miller Creek</t>
  </si>
  <si>
    <t>Peq Creek</t>
  </si>
  <si>
    <t>Poole Creek</t>
  </si>
  <si>
    <t>Pemberton Creek</t>
  </si>
  <si>
    <t>Railroad Creek</t>
  </si>
  <si>
    <t>Ryan River</t>
  </si>
  <si>
    <t>Sampson Creek</t>
  </si>
  <si>
    <t>Taillefer Creek</t>
  </si>
  <si>
    <t>Ure Creek</t>
  </si>
  <si>
    <t>Harrison (D/S)-L</t>
  </si>
  <si>
    <t>Big Silver Creek</t>
  </si>
  <si>
    <t>Sep. 25 - Oct. 1, 2025.</t>
  </si>
  <si>
    <t>Sex ratio and spawning success assumed.</t>
  </si>
  <si>
    <t>Chief Paul Creek</t>
  </si>
  <si>
    <t>Cogburn Creek</t>
  </si>
  <si>
    <t>Crazy Creek</t>
  </si>
  <si>
    <t>Douglas Creek</t>
  </si>
  <si>
    <t>Hatchery Creek</t>
  </si>
  <si>
    <t>Sloquet Creek</t>
  </si>
  <si>
    <t>Tipella Creek</t>
  </si>
  <si>
    <t>Harrison River (River-Type)</t>
  </si>
  <si>
    <t>Harrison River</t>
  </si>
  <si>
    <t>Nov. 9-15, 2025.</t>
  </si>
  <si>
    <t>Harrison (U/S)-L</t>
  </si>
  <si>
    <t>Weaver Channel</t>
  </si>
  <si>
    <t>Oct. 21-27, 2025.</t>
  </si>
  <si>
    <t>Weaver Creek</t>
  </si>
  <si>
    <t>Oct. 28 - Nov. 1, 2025.</t>
  </si>
  <si>
    <t>SETON-ANDERSON</t>
  </si>
  <si>
    <t>Anderson-Seton-ES</t>
  </si>
  <si>
    <t>Gates Channel</t>
  </si>
  <si>
    <t>Gates River</t>
  </si>
  <si>
    <t>Haylmore Creek</t>
  </si>
  <si>
    <t>Spruce Creek</t>
  </si>
  <si>
    <t>Seton-L</t>
  </si>
  <si>
    <t>Anderson Lake - shore</t>
  </si>
  <si>
    <t>Lost Valley Creek - Shore</t>
  </si>
  <si>
    <t>Portage Creek</t>
  </si>
  <si>
    <t>Oct. 26 - Nov. 1, 2025.</t>
  </si>
  <si>
    <t>SOUTH THOMPSON</t>
  </si>
  <si>
    <t>Shuswap-ES</t>
  </si>
  <si>
    <t>Adams Channel</t>
  </si>
  <si>
    <t>Adams River, lower</t>
  </si>
  <si>
    <t>Shuswap-ES comp. adult sex ratio and % spawn used.</t>
  </si>
  <si>
    <t>Adams River, upper</t>
  </si>
  <si>
    <t>Anstey River</t>
  </si>
  <si>
    <t>Aug. 30 - Sep. 5, 2025.</t>
  </si>
  <si>
    <t>Blueberry Creek</t>
  </si>
  <si>
    <t>Burton Creek</t>
  </si>
  <si>
    <t>Cayenne Creek</t>
  </si>
  <si>
    <t>Sep. 3-9, 2025.</t>
  </si>
  <si>
    <t>Shuswap-ES comp. sex ratio and % spawn used.</t>
  </si>
  <si>
    <t>Eagle River</t>
  </si>
  <si>
    <t>Hiuihill Creek</t>
  </si>
  <si>
    <t>Loftus Creek</t>
  </si>
  <si>
    <t>McNomee Creek</t>
  </si>
  <si>
    <t>Momich River, lower</t>
  </si>
  <si>
    <t>Momich River, upper</t>
  </si>
  <si>
    <t>Nikwikwaia Creek</t>
  </si>
  <si>
    <t>Perry River</t>
  </si>
  <si>
    <t>Ross Creek</t>
  </si>
  <si>
    <t>Scotch Creek</t>
  </si>
  <si>
    <t>Seymour River</t>
  </si>
  <si>
    <t>Sep. 3-13, 2025.</t>
  </si>
  <si>
    <t>Yard Creek</t>
  </si>
  <si>
    <t>Shuswap Complex-L</t>
  </si>
  <si>
    <t>Shuswap Complex-L comp. adult sex ratio and % spawn used.</t>
  </si>
  <si>
    <t>Adams Lake East - Shore</t>
  </si>
  <si>
    <t>Oct. 17-23, 2025.</t>
  </si>
  <si>
    <t>Shuswap Complex-L comp. sex ratio and % spawn used.</t>
  </si>
  <si>
    <t>Bessette Creek</t>
  </si>
  <si>
    <t>Blurton Creek</t>
  </si>
  <si>
    <t>Bush Creek</t>
  </si>
  <si>
    <t>Shuswap Complex-L comp. % spawn used.</t>
  </si>
  <si>
    <t>Hlina Creek</t>
  </si>
  <si>
    <t>Johnson Creek</t>
  </si>
  <si>
    <t>Little River</t>
  </si>
  <si>
    <t>Oct. 15-19, 2025.</t>
  </si>
  <si>
    <t>Lower Shuswap River</t>
  </si>
  <si>
    <t>Mara Lake - Shore</t>
  </si>
  <si>
    <t>Middle Shuswap River</t>
  </si>
  <si>
    <t>Lower Shuswap sex ratio and Shuswap Complex-L comp % spawn used.</t>
  </si>
  <si>
    <t>Noisy Creek</t>
  </si>
  <si>
    <t>Onyx Creek</t>
  </si>
  <si>
    <t>Reinecker Creek</t>
  </si>
  <si>
    <t>Salmon River</t>
  </si>
  <si>
    <t>Sicamous Creek</t>
  </si>
  <si>
    <t>Sinmax Creek (Pass Creek)</t>
  </si>
  <si>
    <t>South Thompson River</t>
  </si>
  <si>
    <t>Tsuius Creek</t>
  </si>
  <si>
    <t>Tsuius Creek - Shore</t>
  </si>
  <si>
    <t>Wap Creek</t>
  </si>
  <si>
    <t>NORTH THOMPSON</t>
  </si>
  <si>
    <t>North Barriere-ES</t>
  </si>
  <si>
    <t>Barriere River, upper (Fennell Creek)</t>
  </si>
  <si>
    <t>Sep. 4-8, 2025.</t>
  </si>
  <si>
    <t>Harper Creek</t>
  </si>
  <si>
    <t>Hemp Creek</t>
  </si>
  <si>
    <t>Lemieux Creek</t>
  </si>
  <si>
    <t>Lion Creek</t>
  </si>
  <si>
    <t>Mann Creek</t>
  </si>
  <si>
    <t>North Thompson River</t>
  </si>
  <si>
    <t>Raft River</t>
  </si>
  <si>
    <t>Kamloops-ES</t>
  </si>
  <si>
    <t>Barriere River, lower</t>
  </si>
  <si>
    <t>Kamloops - ES comp. adult sex ratio and % spawn used.</t>
  </si>
  <si>
    <t>Clearwater River</t>
  </si>
  <si>
    <t>Dunn Creek</t>
  </si>
  <si>
    <t>Finn Creek</t>
  </si>
  <si>
    <t>Grouse (Moul) Creek</t>
  </si>
  <si>
    <t>Sep. 12-16, 2025.</t>
  </si>
  <si>
    <t>Sep. 18-24, 2025.</t>
  </si>
  <si>
    <t>Sep. 6-12, 2025.</t>
  </si>
  <si>
    <t>CHILCOTIN</t>
  </si>
  <si>
    <t>Taseko-ES</t>
  </si>
  <si>
    <t>Lastman Creek</t>
  </si>
  <si>
    <t>Taseko Lake</t>
  </si>
  <si>
    <t>Sex ratio and spawn success assumed.</t>
  </si>
  <si>
    <t>Chilko-S / Chilko-ES</t>
  </si>
  <si>
    <t>Chilko River (incl. Lake)</t>
  </si>
  <si>
    <t>Sep. 20 - Oct. 8, 2025.</t>
  </si>
  <si>
    <t>MID-FRASER RIVER</t>
  </si>
  <si>
    <t>Baezaeko River</t>
  </si>
  <si>
    <t>Bridge River</t>
  </si>
  <si>
    <t>Chilcotin River, lower</t>
  </si>
  <si>
    <t>Hawks Creek</t>
  </si>
  <si>
    <t>Williams Lake River</t>
  </si>
  <si>
    <t>Yalakom River</t>
  </si>
  <si>
    <t>West Road (Blackwater) River</t>
  </si>
  <si>
    <t>Not surveyed in 2025</t>
  </si>
  <si>
    <t>QUESNEL</t>
  </si>
  <si>
    <t>Cariboo River, lower</t>
  </si>
  <si>
    <t>Cariboo River, upper</t>
  </si>
  <si>
    <t xml:space="preserve">U. Cariboo River sex ratio and % spawn used. </t>
  </si>
  <si>
    <t>Quesnel River</t>
  </si>
  <si>
    <t xml:space="preserve">Quesnel-S comp. sex ratio and % spawn used. </t>
  </si>
  <si>
    <t>Quesnel-S</t>
  </si>
  <si>
    <t>Sep. 23-29, 2025.</t>
  </si>
  <si>
    <t>Quesnel-S comp. sex ratio and % spawn used.</t>
  </si>
  <si>
    <t>Blue Lead Creek</t>
  </si>
  <si>
    <t>Sep. 21 - Oct. 5,  2025.</t>
  </si>
  <si>
    <t>Bouldery Creek</t>
  </si>
  <si>
    <t>Cameron Creek</t>
  </si>
  <si>
    <t>Mitchell R. sex ratio and % spawn used.</t>
  </si>
  <si>
    <t>Deception Point</t>
  </si>
  <si>
    <t>Sep. 21-25, 2025.</t>
  </si>
  <si>
    <t>Grain Creek</t>
  </si>
  <si>
    <t>Quesnel-S comp. adult sex ratio and % spawn used.</t>
  </si>
  <si>
    <t>Hazeltine Creek</t>
  </si>
  <si>
    <t>Sep. 19-23, 2025.</t>
  </si>
  <si>
    <t>Horsefly Channel</t>
  </si>
  <si>
    <t>Horsefly River</t>
  </si>
  <si>
    <t>Sep. 9-15, 2025.</t>
  </si>
  <si>
    <t>Isaiah Creek</t>
  </si>
  <si>
    <t>Killdog Creek</t>
  </si>
  <si>
    <t>Little Horsefly River</t>
  </si>
  <si>
    <t>Sep. 22-38, 2025.</t>
  </si>
  <si>
    <t>Lynx Creek</t>
  </si>
  <si>
    <t>Sep. 23-29,.2025.</t>
  </si>
  <si>
    <t>McKinley Creek, lower</t>
  </si>
  <si>
    <t>Sep. 17-23, 2025.</t>
  </si>
  <si>
    <t>McKinley Creek, upper</t>
  </si>
  <si>
    <t>Sep. 22-28, 2025.</t>
  </si>
  <si>
    <t>Sep. 16-30, 2025.</t>
  </si>
  <si>
    <t>Misc. West Arm - Shore</t>
  </si>
  <si>
    <t>Mitchell River</t>
  </si>
  <si>
    <t>Sep. 20-26, 2025.</t>
  </si>
  <si>
    <t>Moffat Creek</t>
  </si>
  <si>
    <t>Penfold Creek</t>
  </si>
  <si>
    <t>Roaring River</t>
  </si>
  <si>
    <t>Sep. 16-22, 2025.</t>
  </si>
  <si>
    <t>Summit Creek</t>
  </si>
  <si>
    <t>Sep. 21-27, 2025.</t>
  </si>
  <si>
    <t>Wasko Creek, lower</t>
  </si>
  <si>
    <t>Wasko Creek, upper</t>
  </si>
  <si>
    <t>Watt Creek</t>
  </si>
  <si>
    <t>NECHAKO</t>
  </si>
  <si>
    <t>Nadina-Francois-ES</t>
  </si>
  <si>
    <t>Nadina-Francois-ES comp. adult sex ratio and % spawn used.</t>
  </si>
  <si>
    <t>Nadina Channel</t>
  </si>
  <si>
    <t>Sep. 19-29, 2025.</t>
  </si>
  <si>
    <t>Nadina River</t>
  </si>
  <si>
    <t>Sep. 27 - Oct. 7, 2025</t>
  </si>
  <si>
    <t>Francois-Fraser-S</t>
  </si>
  <si>
    <t>Endako River</t>
  </si>
  <si>
    <t>Nithi River</t>
  </si>
  <si>
    <t>Stellako R. adult sex ratio and % spawn used.</t>
  </si>
  <si>
    <t>Ormond Creek</t>
  </si>
  <si>
    <t>Stellako River</t>
  </si>
  <si>
    <t>Sep. 29 - Oct. 5, 2025.</t>
  </si>
  <si>
    <t>Sweetnam Creek</t>
  </si>
  <si>
    <t>Tagetochlain Creek</t>
  </si>
  <si>
    <t>Uncha Creek</t>
  </si>
  <si>
    <t>Nechako River</t>
  </si>
  <si>
    <t>STUART</t>
  </si>
  <si>
    <t>Takla-Trembleur-EStu</t>
  </si>
  <si>
    <t>Ankwill Creek</t>
  </si>
  <si>
    <t>Baptiste Creek</t>
  </si>
  <si>
    <t>Bates Creek</t>
  </si>
  <si>
    <t>Bivouac Creek</t>
  </si>
  <si>
    <t>Aug. 5-9, 2025.</t>
  </si>
  <si>
    <t>Blackwater Creek</t>
  </si>
  <si>
    <t>Blanchet Creek</t>
  </si>
  <si>
    <t>Aug. 6-12, 2025.</t>
  </si>
  <si>
    <t>Blanchet North Creek</t>
  </si>
  <si>
    <t>Crow Creek</t>
  </si>
  <si>
    <t>Aug. 3-13, 2025.</t>
  </si>
  <si>
    <t>Driftwood River</t>
  </si>
  <si>
    <t>Dust Creek</t>
  </si>
  <si>
    <t>Aug. 5-11, 2025.</t>
  </si>
  <si>
    <t>Fleming Creek</t>
  </si>
  <si>
    <t>Forfar Creek</t>
  </si>
  <si>
    <t>Jul. 30 - Aug. 9, 2025.</t>
  </si>
  <si>
    <t>French Creek</t>
  </si>
  <si>
    <t>Frypan Creek</t>
  </si>
  <si>
    <t>Gluske Creek</t>
  </si>
  <si>
    <t>Hooker Creek</t>
  </si>
  <si>
    <t>Hudson's Bay Creek</t>
  </si>
  <si>
    <t>Aug. 7-13, 2025.</t>
  </si>
  <si>
    <t>Kastberg Creek</t>
  </si>
  <si>
    <t>Kazchek Creek</t>
  </si>
  <si>
    <t>Aug. 8-14, 2025.</t>
  </si>
  <si>
    <t>Kotsine River</t>
  </si>
  <si>
    <t>Leo Creek</t>
  </si>
  <si>
    <t>Lovell Creek (Forsythe Creek)</t>
  </si>
  <si>
    <t>Maclaing Creek (5 Mile Creek)</t>
  </si>
  <si>
    <t>Macdougall Creek</t>
  </si>
  <si>
    <t xml:space="preserve">Middle River </t>
  </si>
  <si>
    <t>Narrows Creek</t>
  </si>
  <si>
    <t>Aug. 2-12, 2025.</t>
  </si>
  <si>
    <t xml:space="preserve">O'Ne-Ell Creek (Kynoch Creek) </t>
  </si>
  <si>
    <t>Paula Creek</t>
  </si>
  <si>
    <t>Aug. 4-10, 2025.</t>
  </si>
  <si>
    <t>Point Creek</t>
  </si>
  <si>
    <t>Porter Creek</t>
  </si>
  <si>
    <t>Sakeniche River</t>
  </si>
  <si>
    <t>Sandpoint Creek</t>
  </si>
  <si>
    <t>Sinta Creek</t>
  </si>
  <si>
    <t>Aug. 10-14, 2025.</t>
  </si>
  <si>
    <t>Shale Creek</t>
  </si>
  <si>
    <t>Aug. 4-14, 2025.</t>
  </si>
  <si>
    <t>Sidney Creek (Felix Creek)</t>
  </si>
  <si>
    <t>Aug. 2-8, 2025.</t>
  </si>
  <si>
    <t>Sowchea Creek</t>
  </si>
  <si>
    <t>Takla Lake - shore</t>
  </si>
  <si>
    <t>Tildesley Creek</t>
  </si>
  <si>
    <t>Tliti Creek (10 Mile Creek)</t>
  </si>
  <si>
    <t>Van Decar Creek (Rossette Creek)</t>
  </si>
  <si>
    <t>Aug. 1 - 11, 2025</t>
  </si>
  <si>
    <t>15 Mile Creek</t>
  </si>
  <si>
    <t>Aug. 5-15, 2025.</t>
  </si>
  <si>
    <t>25 Mile Creek</t>
  </si>
  <si>
    <t>Takla-Trembleur-Stuart-S</t>
  </si>
  <si>
    <t>Kuzkwa Creek</t>
  </si>
  <si>
    <t>Sep. 19-25, 2025.</t>
  </si>
  <si>
    <t>Middle River</t>
  </si>
  <si>
    <t>Nancut Creek</t>
  </si>
  <si>
    <t>Pinchi Creek</t>
  </si>
  <si>
    <t>Tachie River</t>
  </si>
  <si>
    <t>Sep. 22 - Oct. 2, 2025.</t>
  </si>
  <si>
    <t>UPPER FRASER</t>
  </si>
  <si>
    <t>Bowron-ES</t>
  </si>
  <si>
    <t>Bowron River, upper</t>
  </si>
  <si>
    <t>Aug. 30 - Sep. 9, 2025.</t>
  </si>
  <si>
    <t>Sep. 2-6, 2025.</t>
  </si>
  <si>
    <t>U. Bowron River sex ratio and % spawn used.</t>
  </si>
  <si>
    <t>Kruger Creek</t>
  </si>
  <si>
    <t>Sub-total</t>
  </si>
  <si>
    <t>Indianpoint Creek</t>
  </si>
  <si>
    <t>Bowron River, lower</t>
  </si>
  <si>
    <t>Fraser River (@ Tete Jaune)</t>
  </si>
  <si>
    <t>Swift Creek</t>
  </si>
  <si>
    <t xml:space="preserve">  TOTALS:</t>
  </si>
  <si>
    <r>
      <t>FEMALES</t>
    </r>
    <r>
      <rPr>
        <vertAlign val="superscript"/>
        <sz val="12"/>
        <rFont val="Arial"/>
        <family val="2"/>
      </rPr>
      <t>*</t>
    </r>
  </si>
  <si>
    <r>
      <t>Ballpark Creek</t>
    </r>
    <r>
      <rPr>
        <vertAlign val="superscript"/>
        <sz val="8"/>
        <rFont val="Arial"/>
        <family val="2"/>
      </rPr>
      <t>1</t>
    </r>
  </si>
  <si>
    <r>
      <t>Blue Creek</t>
    </r>
    <r>
      <rPr>
        <vertAlign val="superscript"/>
        <sz val="8"/>
        <rFont val="Arial"/>
        <family val="2"/>
      </rPr>
      <t>1</t>
    </r>
  </si>
  <si>
    <r>
      <t>Corbold Creek</t>
    </r>
    <r>
      <rPr>
        <vertAlign val="superscript"/>
        <sz val="8"/>
        <rFont val="Arial"/>
        <family val="2"/>
      </rPr>
      <t>3</t>
    </r>
  </si>
  <si>
    <r>
      <t>Cypress Creek</t>
    </r>
    <r>
      <rPr>
        <vertAlign val="superscript"/>
        <sz val="8"/>
        <rFont val="Arial"/>
        <family val="2"/>
      </rPr>
      <t>1</t>
    </r>
  </si>
  <si>
    <r>
      <t>Lower Forestry Creek</t>
    </r>
    <r>
      <rPr>
        <vertAlign val="superscript"/>
        <sz val="8"/>
        <rFont val="Arial"/>
        <family val="2"/>
      </rPr>
      <t>3</t>
    </r>
  </si>
  <si>
    <r>
      <t>North Boise Creek</t>
    </r>
    <r>
      <rPr>
        <vertAlign val="superscript"/>
        <sz val="8"/>
        <rFont val="Arial"/>
        <family val="2"/>
      </rPr>
      <t>3</t>
    </r>
  </si>
  <si>
    <r>
      <t>Olsen Creek</t>
    </r>
    <r>
      <rPr>
        <vertAlign val="superscript"/>
        <sz val="8"/>
        <rFont val="Arial"/>
        <family val="2"/>
      </rPr>
      <t>3</t>
    </r>
  </si>
  <si>
    <r>
      <t>Slough Creek</t>
    </r>
    <r>
      <rPr>
        <vertAlign val="superscript"/>
        <sz val="8"/>
        <rFont val="Arial"/>
        <family val="2"/>
      </rPr>
      <t>3</t>
    </r>
  </si>
  <si>
    <r>
      <t>South Boise Creek</t>
    </r>
    <r>
      <rPr>
        <vertAlign val="superscript"/>
        <sz val="8"/>
        <rFont val="Arial"/>
        <family val="2"/>
      </rPr>
      <t>3</t>
    </r>
  </si>
  <si>
    <r>
      <t>Steve Creek</t>
    </r>
    <r>
      <rPr>
        <vertAlign val="superscript"/>
        <sz val="8"/>
        <rFont val="Arial"/>
        <family val="2"/>
      </rPr>
      <t>1</t>
    </r>
  </si>
  <si>
    <r>
      <t>Upper Pitt Channel</t>
    </r>
    <r>
      <rPr>
        <vertAlign val="superscript"/>
        <sz val="8"/>
        <rFont val="Arial"/>
        <family val="2"/>
      </rPr>
      <t>3</t>
    </r>
  </si>
  <si>
    <r>
      <t>Widgeon Creek</t>
    </r>
    <r>
      <rPr>
        <vertAlign val="superscript"/>
        <sz val="8"/>
        <rFont val="Helvetica"/>
      </rPr>
      <t>17</t>
    </r>
  </si>
  <si>
    <r>
      <t>Owl Creek</t>
    </r>
    <r>
      <rPr>
        <vertAlign val="superscript"/>
        <sz val="8"/>
        <rFont val="Helvetica"/>
      </rPr>
      <t>1</t>
    </r>
  </si>
  <si>
    <r>
      <t>Sakwi Creek</t>
    </r>
    <r>
      <rPr>
        <vertAlign val="superscript"/>
        <sz val="8"/>
        <rFont val="Helvetica"/>
      </rPr>
      <t>1</t>
    </r>
  </si>
  <si>
    <r>
      <t>Anderson Lake - Shore</t>
    </r>
    <r>
      <rPr>
        <vertAlign val="superscript"/>
        <sz val="8"/>
        <rFont val="Arial"/>
        <family val="2"/>
      </rPr>
      <t>1</t>
    </r>
  </si>
  <si>
    <r>
      <t>Celista Creek</t>
    </r>
    <r>
      <rPr>
        <vertAlign val="superscript"/>
        <sz val="8"/>
        <rFont val="Arial"/>
        <family val="2"/>
      </rPr>
      <t>1</t>
    </r>
  </si>
  <si>
    <r>
      <t>Craigellachie Creek</t>
    </r>
    <r>
      <rPr>
        <vertAlign val="superscript"/>
        <sz val="8"/>
        <rFont val="Arial"/>
        <family val="2"/>
      </rPr>
      <t>1</t>
    </r>
  </si>
  <si>
    <r>
      <t>Four Mile Creek</t>
    </r>
    <r>
      <rPr>
        <vertAlign val="superscript"/>
        <sz val="8"/>
        <rFont val="Arial"/>
        <family val="2"/>
      </rPr>
      <t>1</t>
    </r>
  </si>
  <si>
    <r>
      <t>Four Mile Creek - Shore</t>
    </r>
    <r>
      <rPr>
        <vertAlign val="superscript"/>
        <sz val="8"/>
        <rFont val="Arial"/>
        <family val="2"/>
      </rPr>
      <t>1</t>
    </r>
  </si>
  <si>
    <r>
      <t>Hunakwa Creek</t>
    </r>
    <r>
      <rPr>
        <vertAlign val="superscript"/>
        <sz val="8"/>
        <rFont val="Arial"/>
        <family val="2"/>
      </rPr>
      <t>1</t>
    </r>
  </si>
  <si>
    <r>
      <t>Onyx Creek</t>
    </r>
    <r>
      <rPr>
        <vertAlign val="superscript"/>
        <sz val="8"/>
        <rFont val="Arial"/>
        <family val="2"/>
      </rPr>
      <t>1</t>
    </r>
  </si>
  <si>
    <r>
      <t>Sinmax Creek (Pass Creek)</t>
    </r>
    <r>
      <rPr>
        <vertAlign val="superscript"/>
        <sz val="8"/>
        <rFont val="Arial"/>
        <family val="2"/>
      </rPr>
      <t>1</t>
    </r>
  </si>
  <si>
    <r>
      <t>Adams Lake South - Shore</t>
    </r>
    <r>
      <rPr>
        <vertAlign val="superscript"/>
        <sz val="8"/>
        <rFont val="Helvetica"/>
      </rPr>
      <t>8</t>
    </r>
  </si>
  <si>
    <r>
      <t>Adams Lake North - Shore</t>
    </r>
    <r>
      <rPr>
        <vertAlign val="superscript"/>
        <sz val="8"/>
        <rFont val="Helvetica"/>
      </rPr>
      <t>1,</t>
    </r>
    <r>
      <rPr>
        <sz val="8"/>
        <rFont val="Helvetica"/>
      </rPr>
      <t xml:space="preserve"> </t>
    </r>
    <r>
      <rPr>
        <vertAlign val="superscript"/>
        <sz val="8"/>
        <rFont val="Helvetica"/>
      </rPr>
      <t>9</t>
    </r>
  </si>
  <si>
    <r>
      <t>Adams River, upper</t>
    </r>
    <r>
      <rPr>
        <vertAlign val="superscript"/>
        <sz val="8"/>
        <rFont val="Helvetica"/>
      </rPr>
      <t>1</t>
    </r>
  </si>
  <si>
    <r>
      <t>Anstey River</t>
    </r>
    <r>
      <rPr>
        <vertAlign val="superscript"/>
        <sz val="8"/>
        <rFont val="Helvetica"/>
      </rPr>
      <t>1</t>
    </r>
  </si>
  <si>
    <r>
      <t>Canoe Creek</t>
    </r>
    <r>
      <rPr>
        <vertAlign val="superscript"/>
        <sz val="8"/>
        <rFont val="Helvetica"/>
      </rPr>
      <t>1</t>
    </r>
  </si>
  <si>
    <r>
      <t>Celista Creek</t>
    </r>
    <r>
      <rPr>
        <vertAlign val="superscript"/>
        <sz val="8"/>
        <rFont val="Helvetica"/>
      </rPr>
      <t>1</t>
    </r>
  </si>
  <si>
    <r>
      <t>Cooke Creek</t>
    </r>
    <r>
      <rPr>
        <vertAlign val="superscript"/>
        <sz val="8"/>
        <rFont val="Helvetica"/>
      </rPr>
      <t>1</t>
    </r>
  </si>
  <si>
    <r>
      <t>Crazy Creek</t>
    </r>
    <r>
      <rPr>
        <vertAlign val="superscript"/>
        <sz val="8"/>
        <rFont val="Helvetica"/>
      </rPr>
      <t>1</t>
    </r>
  </si>
  <si>
    <r>
      <t>Hunakwa Creek</t>
    </r>
    <r>
      <rPr>
        <vertAlign val="superscript"/>
        <sz val="8"/>
        <rFont val="Helvetica"/>
      </rPr>
      <t>1</t>
    </r>
  </si>
  <si>
    <r>
      <t>Kingfisher Creek</t>
    </r>
    <r>
      <rPr>
        <vertAlign val="superscript"/>
        <sz val="8"/>
        <rFont val="Helvetica"/>
      </rPr>
      <t>1</t>
    </r>
  </si>
  <si>
    <r>
      <t>Loftus Creek</t>
    </r>
    <r>
      <rPr>
        <vertAlign val="superscript"/>
        <sz val="8"/>
        <rFont val="Helvetica"/>
      </rPr>
      <t>1</t>
    </r>
  </si>
  <si>
    <r>
      <t>McNomee Creek</t>
    </r>
    <r>
      <rPr>
        <vertAlign val="superscript"/>
        <sz val="8"/>
        <rFont val="Helvetica"/>
      </rPr>
      <t>1</t>
    </r>
  </si>
  <si>
    <r>
      <t>Misc. Anstey Arm - Shore</t>
    </r>
    <r>
      <rPr>
        <vertAlign val="superscript"/>
        <sz val="8"/>
        <rFont val="Helvetica"/>
      </rPr>
      <t>10</t>
    </r>
  </si>
  <si>
    <r>
      <t>Misc. Main Arm - Shore</t>
    </r>
    <r>
      <rPr>
        <vertAlign val="superscript"/>
        <sz val="8"/>
        <rFont val="Helvetica"/>
      </rPr>
      <t>11</t>
    </r>
  </si>
  <si>
    <r>
      <t>Misc. Salmon Arm - Shore</t>
    </r>
    <r>
      <rPr>
        <vertAlign val="superscript"/>
        <sz val="8"/>
        <rFont val="Helvetica"/>
      </rPr>
      <t>1,</t>
    </r>
    <r>
      <rPr>
        <sz val="8"/>
        <rFont val="Helvetica"/>
      </rPr>
      <t xml:space="preserve"> </t>
    </r>
    <r>
      <rPr>
        <vertAlign val="superscript"/>
        <sz val="8"/>
        <rFont val="Helvetica"/>
      </rPr>
      <t>12</t>
    </r>
  </si>
  <si>
    <r>
      <t>Misc. Seymour Arm - Shore</t>
    </r>
    <r>
      <rPr>
        <vertAlign val="superscript"/>
        <sz val="8"/>
        <rFont val="Helvetica"/>
      </rPr>
      <t>1</t>
    </r>
  </si>
  <si>
    <r>
      <t>Nikwikwaia Creek</t>
    </r>
    <r>
      <rPr>
        <vertAlign val="superscript"/>
        <sz val="8"/>
        <rFont val="Helvetica"/>
      </rPr>
      <t>1</t>
    </r>
  </si>
  <si>
    <r>
      <t>Tappen Creek</t>
    </r>
    <r>
      <rPr>
        <vertAlign val="superscript"/>
        <sz val="8"/>
        <rFont val="Helvetica"/>
      </rPr>
      <t>1</t>
    </r>
  </si>
  <si>
    <r>
      <t>Trinity Creek</t>
    </r>
    <r>
      <rPr>
        <vertAlign val="superscript"/>
        <sz val="8"/>
        <rFont val="Helvetica"/>
      </rPr>
      <t>1</t>
    </r>
  </si>
  <si>
    <r>
      <t>Yard Creek</t>
    </r>
    <r>
      <rPr>
        <vertAlign val="superscript"/>
        <sz val="8"/>
        <rFont val="Helvetica"/>
      </rPr>
      <t>1</t>
    </r>
  </si>
  <si>
    <r>
      <t>Yohetta Creek, lower</t>
    </r>
    <r>
      <rPr>
        <vertAlign val="superscript"/>
        <sz val="8"/>
        <rFont val="Arial"/>
        <family val="2"/>
      </rPr>
      <t>1,6</t>
    </r>
  </si>
  <si>
    <r>
      <t>Yohetta Creek, upper</t>
    </r>
    <r>
      <rPr>
        <vertAlign val="superscript"/>
        <sz val="8"/>
        <rFont val="Arial"/>
        <family val="2"/>
      </rPr>
      <t>1,6</t>
    </r>
  </si>
  <si>
    <r>
      <t>Middle Fraser (River-Type)-S</t>
    </r>
    <r>
      <rPr>
        <u/>
        <vertAlign val="superscript"/>
        <sz val="8"/>
        <rFont val="Arial"/>
        <family val="2"/>
      </rPr>
      <t>2</t>
    </r>
  </si>
  <si>
    <r>
      <t>Middle Fraser (River-Type)-L</t>
    </r>
    <r>
      <rPr>
        <u/>
        <vertAlign val="superscript"/>
        <sz val="8"/>
        <rFont val="Arial"/>
        <family val="2"/>
      </rPr>
      <t>2</t>
    </r>
  </si>
  <si>
    <r>
      <t>Cariboo-S</t>
    </r>
    <r>
      <rPr>
        <u/>
        <vertAlign val="superscript"/>
        <sz val="8"/>
        <rFont val="Arial"/>
        <family val="2"/>
      </rPr>
      <t>2</t>
    </r>
  </si>
  <si>
    <r>
      <t>Bill Miner Creek</t>
    </r>
    <r>
      <rPr>
        <vertAlign val="superscript"/>
        <sz val="8"/>
        <rFont val="Arial"/>
        <family val="2"/>
      </rPr>
      <t>1</t>
    </r>
  </si>
  <si>
    <r>
      <t>Misc. East Arm Shore - North</t>
    </r>
    <r>
      <rPr>
        <vertAlign val="superscript"/>
        <sz val="8"/>
        <rFont val="Arial"/>
        <family val="2"/>
      </rPr>
      <t>4</t>
    </r>
  </si>
  <si>
    <r>
      <t>Misc. East Arm Shore - South</t>
    </r>
    <r>
      <rPr>
        <vertAlign val="superscript"/>
        <sz val="8"/>
        <rFont val="Arial"/>
        <family val="2"/>
      </rPr>
      <t>5</t>
    </r>
  </si>
  <si>
    <r>
      <t>Misc. North Arm Shore - East</t>
    </r>
    <r>
      <rPr>
        <vertAlign val="superscript"/>
        <sz val="8"/>
        <rFont val="Arial"/>
        <family val="2"/>
      </rPr>
      <t>6</t>
    </r>
  </si>
  <si>
    <r>
      <t>Misc. North Arm Shore - West</t>
    </r>
    <r>
      <rPr>
        <vertAlign val="superscript"/>
        <sz val="8"/>
        <rFont val="Arial"/>
        <family val="2"/>
      </rPr>
      <t>7</t>
    </r>
  </si>
  <si>
    <r>
      <t>Glacier Creek</t>
    </r>
    <r>
      <rPr>
        <vertAlign val="superscript"/>
        <sz val="8"/>
        <rFont val="Arial"/>
        <family val="2"/>
      </rPr>
      <t>1</t>
    </r>
  </si>
  <si>
    <r>
      <t>Francois Lake</t>
    </r>
    <r>
      <rPr>
        <vertAlign val="superscript"/>
        <sz val="8"/>
        <rFont val="Arial"/>
        <family val="2"/>
      </rPr>
      <t>1</t>
    </r>
  </si>
  <si>
    <r>
      <t>Upper Fraser (River-Type)</t>
    </r>
    <r>
      <rPr>
        <u/>
        <vertAlign val="superscript"/>
        <sz val="8"/>
        <rFont val="Arial"/>
        <family val="2"/>
      </rPr>
      <t>2</t>
    </r>
  </si>
  <si>
    <r>
      <t>Butterfield Creek</t>
    </r>
    <r>
      <rPr>
        <vertAlign val="superscript"/>
        <sz val="8"/>
        <rFont val="Arial"/>
        <family val="2"/>
      </rPr>
      <t>6</t>
    </r>
  </si>
  <si>
    <r>
      <t>Huckey Creek</t>
    </r>
    <r>
      <rPr>
        <vertAlign val="superscript"/>
        <sz val="8"/>
        <rFont val="Arial"/>
        <family val="2"/>
      </rPr>
      <t>13</t>
    </r>
  </si>
  <si>
    <r>
      <t>Pomeroy Creek</t>
    </r>
    <r>
      <rPr>
        <vertAlign val="superscript"/>
        <sz val="8"/>
        <rFont val="Arial"/>
        <family val="2"/>
      </rPr>
      <t>14</t>
    </r>
  </si>
  <si>
    <r>
      <t>Sus Creek</t>
    </r>
    <r>
      <rPr>
        <vertAlign val="superscript"/>
        <sz val="8"/>
        <rFont val="Arial"/>
        <family val="2"/>
      </rPr>
      <t>16</t>
    </r>
  </si>
  <si>
    <r>
      <t>Indian/Kruger-ES</t>
    </r>
    <r>
      <rPr>
        <u/>
        <vertAlign val="superscript"/>
        <sz val="8"/>
        <rFont val="Arial"/>
        <family val="2"/>
      </rPr>
      <t>2</t>
    </r>
  </si>
  <si>
    <r>
      <t>Haggen Creek</t>
    </r>
    <r>
      <rPr>
        <vertAlign val="superscript"/>
        <sz val="8"/>
        <rFont val="Arial"/>
        <family val="2"/>
      </rPr>
      <t>17</t>
    </r>
  </si>
  <si>
    <r>
      <t>Goat River</t>
    </r>
    <r>
      <rPr>
        <vertAlign val="superscript"/>
        <sz val="8"/>
        <rFont val="Arial"/>
        <family val="2"/>
      </rPr>
      <t>16</t>
    </r>
  </si>
  <si>
    <r>
      <t>*</t>
    </r>
    <r>
      <rPr>
        <vertAlign val="superscript"/>
        <sz val="8"/>
        <rFont val="Arial"/>
        <family val="2"/>
      </rPr>
      <t xml:space="preserve"> </t>
    </r>
    <r>
      <rPr>
        <sz val="8"/>
        <rFont val="Arial"/>
        <family val="2"/>
      </rPr>
      <t>Effective female totals do not include fish killed for biological samples.</t>
    </r>
  </si>
  <si>
    <r>
      <t xml:space="preserve">1  </t>
    </r>
    <r>
      <rPr>
        <sz val="8"/>
        <rFont val="Arial"/>
        <family val="2"/>
      </rPr>
      <t>No previous historical Sockeye spawning escapement on record for this cycle year.</t>
    </r>
  </si>
  <si>
    <r>
      <t xml:space="preserve">2  </t>
    </r>
    <r>
      <rPr>
        <sz val="8"/>
        <rFont val="Arial"/>
        <family val="2"/>
      </rPr>
      <t>Un-validated CU; further research is required to determine if a valid CU (Grant et. al. 2011).</t>
    </r>
  </si>
  <si>
    <r>
      <rPr>
        <vertAlign val="superscript"/>
        <sz val="8"/>
        <rFont val="Arial"/>
        <family val="2"/>
      </rPr>
      <t>3</t>
    </r>
    <r>
      <rPr>
        <sz val="8"/>
        <rFont val="Arial"/>
        <family val="2"/>
      </rPr>
      <t xml:space="preserve"> Individual escapement estimates are only available for this stream from 2010-onward; a system-wide mark-recapture study was used to assess escapements to the Upper Pitt prior to this.</t>
    </r>
  </si>
  <si>
    <r>
      <t xml:space="preserve">4  </t>
    </r>
    <r>
      <rPr>
        <sz val="8"/>
        <rFont val="Arial"/>
        <family val="2"/>
      </rPr>
      <t>Area includes several shore spawning areas previously reported seperately (Blue Lead Cr. Shore, Big Slide Shore, Lynx Cr. Shore, Pennisula Bay, Frank's Creek Shore and Junction Shore).</t>
    </r>
  </si>
  <si>
    <r>
      <t xml:space="preserve">5  </t>
    </r>
    <r>
      <rPr>
        <sz val="8"/>
        <rFont val="Arial"/>
        <family val="2"/>
      </rPr>
      <t>Area includes several shore spawning areas previously reported seperately (Bouldery Cr. Shore, Bill Miner Cr. Shore, Killdog Cr. Shore, Slate Bay and Hurricane Pt.).</t>
    </r>
  </si>
  <si>
    <r>
      <t xml:space="preserve">6  </t>
    </r>
    <r>
      <rPr>
        <sz val="8"/>
        <rFont val="Arial"/>
        <family val="2"/>
      </rPr>
      <t>Area includes several shore spawning areas previously reported seperately (Watt Cr. Shore, Goose Pt., Bowling Pt., Roaring R. Shore and Wasko Cr. Shore).</t>
    </r>
  </si>
  <si>
    <r>
      <t xml:space="preserve">7  </t>
    </r>
    <r>
      <rPr>
        <sz val="8"/>
        <rFont val="Arial"/>
        <family val="2"/>
      </rPr>
      <t>Area includes several shore spawning areas previously reported seperately (Grain Cr. Shore, Devoe Cr. Shore, Long Cr. Shore, Lester Shore, Marten Cr. Shore, Limestone Pt., Bear Beach, Betty Frank's Shore and Tasse Cr. Shore).</t>
    </r>
  </si>
  <si>
    <r>
      <rPr>
        <vertAlign val="superscript"/>
        <sz val="8"/>
        <rFont val="Arial"/>
        <family val="2"/>
      </rPr>
      <t>8</t>
    </r>
    <r>
      <rPr>
        <sz val="8"/>
        <rFont val="Arial"/>
        <family val="2"/>
      </rPr>
      <t xml:space="preserve"> Area includes Bush Cr. Shore and Sinmax Cr. Shore (previously reported separately).</t>
    </r>
  </si>
  <si>
    <r>
      <rPr>
        <vertAlign val="superscript"/>
        <sz val="8"/>
        <rFont val="Arial"/>
        <family val="2"/>
      </rPr>
      <t>9</t>
    </r>
    <r>
      <rPr>
        <sz val="8"/>
        <rFont val="Arial"/>
        <family val="2"/>
      </rPr>
      <t xml:space="preserve"> Area includes Momich River Shore and Boat Basin (previously reported separately).</t>
    </r>
  </si>
  <si>
    <r>
      <rPr>
        <vertAlign val="superscript"/>
        <sz val="8"/>
        <rFont val="Arial"/>
        <family val="2"/>
      </rPr>
      <t>10</t>
    </r>
    <r>
      <rPr>
        <sz val="8"/>
        <rFont val="Arial"/>
        <family val="2"/>
      </rPr>
      <t xml:space="preserve"> Area includes several shore spawning areas previously reported seperately (4 Mile Cr. Shore, Queest Cr. Shore, Vanishing Cr. Shore and Anstey R. Shore).</t>
    </r>
  </si>
  <si>
    <r>
      <rPr>
        <vertAlign val="superscript"/>
        <sz val="8"/>
        <rFont val="Arial"/>
        <family val="2"/>
      </rPr>
      <t>11</t>
    </r>
    <r>
      <rPr>
        <sz val="8"/>
        <rFont val="Arial"/>
        <family val="2"/>
      </rPr>
      <t xml:space="preserve"> Area includes several shore spawning areas previously reported seperately (Adams R. Shore, Cruikshank Pt. W. Shore, Hlina Cr. Shore, Lee Cr. Shore,  Misc. North Shore, Misc. South Shore, Onyx Cr. Shore, Ross Cr. Shore and Scotch Cr. Shore).</t>
    </r>
  </si>
  <si>
    <r>
      <rPr>
        <vertAlign val="superscript"/>
        <sz val="8"/>
        <rFont val="Arial"/>
        <family val="2"/>
      </rPr>
      <t>12</t>
    </r>
    <r>
      <rPr>
        <sz val="8"/>
        <rFont val="Arial"/>
        <family val="2"/>
      </rPr>
      <t xml:space="preserve"> Area includes Knight Cr. Shore and Reinecker Cr.  Shore (previously reported separately).</t>
    </r>
  </si>
  <si>
    <r>
      <t xml:space="preserve">13  </t>
    </r>
    <r>
      <rPr>
        <sz val="8"/>
        <rFont val="Arial"/>
        <family val="2"/>
      </rPr>
      <t>Prior to 2004, escapements to this stream were aggregated as part of the Upper Bowron River escapement estimates.</t>
    </r>
  </si>
  <si>
    <t>Chilliwack-ES comp. sex ratio and % spawn used.</t>
  </si>
  <si>
    <t>Pitt-ES comp. sex ratio and % spawn used.</t>
  </si>
  <si>
    <t>Anderson-Seton-ES comp. sex ratio and % spawn used.</t>
  </si>
  <si>
    <t>Takla Lake comp. sex ratio and % spawn used.</t>
  </si>
  <si>
    <t>Trembleur Lake comp. sex ratio and % spawn used.</t>
  </si>
  <si>
    <t>Middle River comp. sex ratio and % spawn used.</t>
  </si>
  <si>
    <t>Lower Fraser</t>
  </si>
  <si>
    <t>Harrison-Lilooet</t>
  </si>
  <si>
    <t>Seton-Anderson</t>
  </si>
  <si>
    <t>South Thompson</t>
  </si>
  <si>
    <t>North Thompson</t>
  </si>
  <si>
    <t>Chilcotin</t>
  </si>
  <si>
    <t>Mid-Fraser River</t>
  </si>
  <si>
    <t>Nechako</t>
  </si>
  <si>
    <t>Quesnel</t>
  </si>
  <si>
    <t>Stuart</t>
  </si>
  <si>
    <t>Upper Fraser</t>
  </si>
  <si>
    <t>Total</t>
  </si>
  <si>
    <t>area_cu</t>
  </si>
  <si>
    <t>escapement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</si>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</sst>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8" x14ac:knownFonts="1">
    <font>
      <sz val="11"/>
      <color theme="1"/>
      <name val="Aptos Narrow"/>
      <family val="2"/>
      <scheme val="minor"/>
    </font>
    <font>
      <b/>
      <sz val="8"/>
      <name val="Helvetica"/>
    </font>
    <font>
      <sz val="14"/>
      <name val="Arial"/>
      <family val="2"/>
    </font>
    <font>
      <sz val="8"/>
      <name val="Arial"/>
      <family val="2"/>
    </font>
    <font>
      <sz val="10"/>
      <name val="Arial"/>
      <family val="2"/>
    </font>
    <font>
      <vertAlign val="superscript"/>
      <sz val="12"/>
      <name val="Arial"/>
      <family val="2"/>
    </font>
    <font>
      <u/>
      <sz val="8"/>
      <name val="Arial"/>
      <family val="2"/>
    </font>
    <font>
      <u/>
      <sz val="8"/>
      <name val="Helvetica"/>
    </font>
    <font>
      <sz val="8"/>
      <name val="Helvetica"/>
    </font>
    <font>
      <vertAlign val="superscript"/>
      <sz val="8"/>
      <name val="Arial"/>
      <family val="2"/>
    </font>
    <font>
      <vertAlign val="superscript"/>
      <sz val="8"/>
      <name val="Helvetica"/>
    </font>
    <font>
      <b/>
      <sz val="8"/>
      <name val="Arial"/>
      <family val="2"/>
    </font>
    <font>
      <u/>
      <vertAlign val="superscript"/>
      <sz val="8"/>
      <name val="Arial"/>
      <family val="2"/>
    </font>
    <font>
      <sz val="8"/>
      <color theme="1"/>
      <name val="Arial"/>
      <family val="2"/>
    </font>
    <font>
      <b/>
      <sz val="12"/>
      <name val="Arial"/>
      <family val="2"/>
    </font>
    <font>
      <sz val="12"/>
      <name val="Arial"/>
      <family val="2"/>
    </font>
    <font>
      <b/>
      <sz val="8"/>
      <color indexed="81"/>
      <name val="Tahoma"/>
      <family val="2"/>
    </font>
    <font>
      <sz val="8"/>
      <color indexed="81"/>
      <name val="Tahoma"/>
      <family val="2"/>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1" fillId="0" borderId="0" applyBorder="0"/>
    <xf numFmtId="0" fontId="4" fillId="0" borderId="0"/>
    <xf numFmtId="0" fontId="1" fillId="0" borderId="0" applyBorder="0"/>
    <xf numFmtId="0" fontId="1" fillId="0" borderId="0" applyBorder="0"/>
    <xf numFmtId="0" fontId="4" fillId="0" borderId="0"/>
    <xf numFmtId="0" fontId="4" fillId="0" borderId="0"/>
    <xf numFmtId="0" fontId="4" fillId="0" borderId="0"/>
  </cellStyleXfs>
  <cellXfs count="213">
    <xf numFmtId="0" fontId="0" fillId="0" borderId="0" xfId="0"/>
    <xf numFmtId="0" fontId="3" fillId="0" borderId="0" xfId="1" applyFont="1" applyAlignment="1">
      <alignment horizontal="right"/>
    </xf>
    <xf numFmtId="0" fontId="3" fillId="0" borderId="0" xfId="1" applyFont="1" applyAlignment="1">
      <alignment horizontal="left"/>
    </xf>
    <xf numFmtId="0" fontId="3" fillId="0" borderId="0" xfId="1" applyFont="1"/>
    <xf numFmtId="0" fontId="3" fillId="0" borderId="2" xfId="1" applyFont="1" applyBorder="1"/>
    <xf numFmtId="0" fontId="4" fillId="0" borderId="3" xfId="1" applyFont="1" applyBorder="1" applyAlignment="1">
      <alignment horizontal="fill"/>
    </xf>
    <xf numFmtId="0" fontId="4" fillId="0" borderId="3" xfId="1" applyFont="1" applyBorder="1" applyAlignment="1">
      <alignment horizontal="left"/>
    </xf>
    <xf numFmtId="3" fontId="4" fillId="0" borderId="3" xfId="1" applyNumberFormat="1" applyFont="1" applyBorder="1" applyAlignment="1">
      <alignment vertical="justify"/>
    </xf>
    <xf numFmtId="164" fontId="4" fillId="0" borderId="3" xfId="1" applyNumberFormat="1" applyFont="1" applyBorder="1" applyAlignment="1">
      <alignment vertical="justify"/>
    </xf>
    <xf numFmtId="0" fontId="4" fillId="0" borderId="4" xfId="1" applyFont="1" applyBorder="1" applyAlignment="1">
      <alignment horizontal="fill"/>
    </xf>
    <xf numFmtId="0" fontId="4" fillId="0" borderId="5" xfId="1" applyFont="1" applyBorder="1" applyAlignment="1">
      <alignment horizontal="left"/>
    </xf>
    <xf numFmtId="0" fontId="3" fillId="0" borderId="0" xfId="1" applyFont="1" applyBorder="1"/>
    <xf numFmtId="0" fontId="4" fillId="0" borderId="0" xfId="1" applyFont="1" applyAlignment="1">
      <alignment horizontal="center"/>
    </xf>
    <xf numFmtId="3" fontId="4" fillId="0" borderId="0" xfId="1" applyNumberFormat="1" applyFont="1" applyAlignment="1">
      <alignment horizontal="center" vertical="justify"/>
    </xf>
    <xf numFmtId="3" fontId="4" fillId="0" borderId="0" xfId="1" applyNumberFormat="1" applyFont="1" applyAlignment="1">
      <alignment vertical="justify"/>
    </xf>
    <xf numFmtId="164" fontId="4" fillId="0" borderId="0" xfId="1" applyNumberFormat="1" applyFont="1" applyAlignment="1">
      <alignment horizontal="center" vertical="justify"/>
    </xf>
    <xf numFmtId="0" fontId="4" fillId="0" borderId="0" xfId="1" applyFont="1"/>
    <xf numFmtId="0" fontId="4" fillId="0" borderId="6" xfId="1" applyFont="1" applyBorder="1"/>
    <xf numFmtId="0" fontId="3" fillId="0" borderId="5" xfId="1" applyFont="1" applyBorder="1"/>
    <xf numFmtId="0" fontId="4" fillId="0" borderId="0" xfId="1" applyFont="1" applyBorder="1" applyAlignment="1">
      <alignment horizontal="left" vertical="justify"/>
    </xf>
    <xf numFmtId="0" fontId="4" fillId="0" borderId="0" xfId="1" applyFont="1" applyAlignment="1">
      <alignment horizontal="center" vertical="justify"/>
    </xf>
    <xf numFmtId="0" fontId="4" fillId="0" borderId="6" xfId="1" applyFont="1" applyBorder="1" applyAlignment="1">
      <alignment horizontal="center" vertical="justify"/>
    </xf>
    <xf numFmtId="0" fontId="3" fillId="0" borderId="7" xfId="1" applyFont="1" applyBorder="1"/>
    <xf numFmtId="0" fontId="4" fillId="0" borderId="1" xfId="1" applyFont="1" applyBorder="1" applyAlignment="1">
      <alignment horizontal="fill"/>
    </xf>
    <xf numFmtId="0" fontId="4" fillId="0" borderId="1" xfId="1" applyFont="1" applyBorder="1" applyAlignment="1">
      <alignment horizontal="left"/>
    </xf>
    <xf numFmtId="3" fontId="4" fillId="0" borderId="1" xfId="1" applyNumberFormat="1" applyFont="1" applyBorder="1" applyAlignment="1">
      <alignment vertical="justify"/>
    </xf>
    <xf numFmtId="164" fontId="4" fillId="0" borderId="1" xfId="1" applyNumberFormat="1" applyFont="1" applyBorder="1" applyAlignment="1">
      <alignment vertical="justify"/>
    </xf>
    <xf numFmtId="0" fontId="4" fillId="0" borderId="8" xfId="1" applyFont="1" applyBorder="1" applyAlignment="1">
      <alignment horizontal="fill"/>
    </xf>
    <xf numFmtId="0" fontId="4" fillId="0" borderId="0" xfId="1" applyFont="1" applyBorder="1" applyAlignment="1">
      <alignment horizontal="fill"/>
    </xf>
    <xf numFmtId="0" fontId="4" fillId="0" borderId="0" xfId="1" applyFont="1" applyBorder="1" applyAlignment="1">
      <alignment vertical="justify"/>
    </xf>
    <xf numFmtId="3" fontId="4" fillId="0" borderId="0" xfId="1" applyNumberFormat="1" applyFont="1" applyBorder="1" applyAlignment="1">
      <alignment vertical="justify"/>
    </xf>
    <xf numFmtId="164" fontId="4" fillId="0" borderId="0" xfId="1" applyNumberFormat="1" applyFont="1" applyBorder="1" applyAlignment="1">
      <alignment vertical="justify"/>
    </xf>
    <xf numFmtId="0" fontId="6" fillId="0" borderId="0" xfId="2" applyFont="1" applyAlignment="1">
      <alignment horizontal="left"/>
    </xf>
    <xf numFmtId="0" fontId="3" fillId="0" borderId="0" xfId="1" applyFont="1" applyAlignment="1">
      <alignment vertical="justify"/>
    </xf>
    <xf numFmtId="3" fontId="3" fillId="0" borderId="0" xfId="1" applyNumberFormat="1" applyFont="1" applyAlignment="1">
      <alignment vertical="justify"/>
    </xf>
    <xf numFmtId="164" fontId="3" fillId="0" borderId="0" xfId="1" applyNumberFormat="1" applyFont="1" applyAlignment="1">
      <alignment vertical="justify"/>
    </xf>
    <xf numFmtId="0" fontId="6" fillId="0" borderId="0" xfId="3" applyFont="1" applyAlignment="1">
      <alignment wrapText="1"/>
    </xf>
    <xf numFmtId="0" fontId="3" fillId="0" borderId="0" xfId="3" applyFont="1" applyAlignment="1">
      <alignment wrapText="1"/>
    </xf>
    <xf numFmtId="3" fontId="3" fillId="0" borderId="0" xfId="1" applyNumberFormat="1" applyFont="1"/>
    <xf numFmtId="164" fontId="3" fillId="0" borderId="0" xfId="1" applyNumberFormat="1" applyFont="1"/>
    <xf numFmtId="3" fontId="3" fillId="0" borderId="0" xfId="1" applyNumberFormat="1" applyFont="1" applyAlignment="1">
      <alignment horizontal="left"/>
    </xf>
    <xf numFmtId="0" fontId="3" fillId="0" borderId="0" xfId="1" applyFont="1" applyBorder="1" applyAlignment="1">
      <alignment vertical="top"/>
    </xf>
    <xf numFmtId="3" fontId="3" fillId="0" borderId="0" xfId="1" applyNumberFormat="1" applyFont="1" applyAlignment="1">
      <alignment vertical="top"/>
    </xf>
    <xf numFmtId="164" fontId="3" fillId="0" borderId="0" xfId="1" applyNumberFormat="1" applyFont="1" applyBorder="1" applyAlignment="1">
      <alignment vertical="top"/>
    </xf>
    <xf numFmtId="3" fontId="3" fillId="0" borderId="0" xfId="1" applyNumberFormat="1" applyFont="1" applyAlignment="1">
      <alignment horizontal="left" vertical="top"/>
    </xf>
    <xf numFmtId="0" fontId="3" fillId="0" borderId="0" xfId="1" applyFont="1" applyAlignment="1">
      <alignment vertical="top"/>
    </xf>
    <xf numFmtId="3" fontId="3" fillId="0" borderId="0" xfId="1" applyNumberFormat="1" applyFont="1" applyBorder="1" applyAlignment="1">
      <alignment vertical="justify"/>
    </xf>
    <xf numFmtId="164" fontId="3" fillId="0" borderId="0" xfId="1" applyNumberFormat="1" applyFont="1" applyBorder="1" applyAlignment="1">
      <alignment vertical="justify"/>
    </xf>
    <xf numFmtId="3" fontId="3" fillId="0" borderId="0" xfId="1" applyNumberFormat="1" applyFont="1" applyBorder="1" applyAlignment="1">
      <alignment horizontal="left"/>
    </xf>
    <xf numFmtId="3" fontId="3" fillId="0" borderId="1" xfId="1" applyNumberFormat="1" applyFont="1" applyBorder="1" applyAlignment="1">
      <alignment vertical="justify"/>
    </xf>
    <xf numFmtId="164" fontId="3" fillId="0" borderId="1" xfId="1" applyNumberFormat="1" applyFont="1" applyBorder="1" applyAlignment="1">
      <alignment vertical="justify"/>
    </xf>
    <xf numFmtId="3" fontId="3" fillId="0" borderId="1" xfId="1" applyNumberFormat="1" applyFont="1" applyBorder="1" applyAlignment="1">
      <alignment horizontal="left"/>
    </xf>
    <xf numFmtId="0" fontId="3" fillId="0" borderId="0" xfId="2" applyFont="1" applyAlignment="1">
      <alignment horizontal="right" vertical="top"/>
    </xf>
    <xf numFmtId="0" fontId="3" fillId="0" borderId="3" xfId="1" applyFont="1" applyBorder="1" applyAlignment="1">
      <alignment vertical="justify"/>
    </xf>
    <xf numFmtId="3" fontId="3" fillId="0" borderId="3" xfId="1" applyNumberFormat="1" applyFont="1" applyBorder="1" applyAlignment="1">
      <alignment vertical="justify"/>
    </xf>
    <xf numFmtId="164" fontId="3" fillId="0" borderId="3" xfId="4" applyNumberFormat="1" applyFont="1" applyBorder="1" applyAlignment="1">
      <alignment vertical="justify"/>
    </xf>
    <xf numFmtId="0" fontId="3" fillId="0" borderId="3" xfId="1" applyFont="1" applyBorder="1"/>
    <xf numFmtId="0" fontId="7" fillId="0" borderId="0" xfId="0" applyFont="1"/>
    <xf numFmtId="0" fontId="8" fillId="0" borderId="0" xfId="0" applyFont="1" applyAlignment="1">
      <alignment horizontal="left" vertical="top"/>
    </xf>
    <xf numFmtId="3" fontId="3" fillId="0" borderId="1" xfId="1" applyNumberFormat="1" applyFont="1" applyBorder="1" applyAlignment="1">
      <alignment vertical="top"/>
    </xf>
    <xf numFmtId="164" fontId="3" fillId="0" borderId="1" xfId="1" applyNumberFormat="1" applyFont="1" applyBorder="1" applyAlignment="1">
      <alignment vertical="top"/>
    </xf>
    <xf numFmtId="3" fontId="8" fillId="0" borderId="1" xfId="0" applyNumberFormat="1" applyFont="1" applyBorder="1" applyAlignment="1">
      <alignment vertical="top" wrapText="1"/>
    </xf>
    <xf numFmtId="0" fontId="8" fillId="0" borderId="0" xfId="0" applyFont="1" applyAlignment="1">
      <alignment horizontal="right"/>
    </xf>
    <xf numFmtId="0" fontId="3" fillId="0" borderId="0" xfId="2" applyFont="1" applyAlignment="1">
      <alignment horizontal="left"/>
    </xf>
    <xf numFmtId="0" fontId="3" fillId="0" borderId="1" xfId="1" applyFont="1" applyBorder="1"/>
    <xf numFmtId="3" fontId="3" fillId="0" borderId="1" xfId="1" applyNumberFormat="1" applyFont="1" applyBorder="1"/>
    <xf numFmtId="164" fontId="3" fillId="0" borderId="1" xfId="1" applyNumberFormat="1" applyFont="1" applyBorder="1"/>
    <xf numFmtId="0" fontId="6" fillId="0" borderId="0" xfId="3" applyFont="1" applyAlignment="1">
      <alignment horizontal="left" vertical="top"/>
    </xf>
    <xf numFmtId="0" fontId="3" fillId="0" borderId="0" xfId="3" applyFont="1" applyAlignment="1">
      <alignment horizontal="left" vertical="top"/>
    </xf>
    <xf numFmtId="164" fontId="3" fillId="0" borderId="0" xfId="1" applyNumberFormat="1" applyFont="1" applyAlignment="1">
      <alignment horizontal="right" vertical="justify"/>
    </xf>
    <xf numFmtId="0" fontId="3" fillId="0" borderId="0" xfId="3" applyFont="1" applyAlignment="1">
      <alignment horizontal="left"/>
    </xf>
    <xf numFmtId="164" fontId="3" fillId="0" borderId="0" xfId="1" applyNumberFormat="1" applyFont="1" applyAlignment="1">
      <alignment horizontal="right"/>
    </xf>
    <xf numFmtId="0" fontId="3" fillId="0" borderId="0" xfId="2" applyFont="1"/>
    <xf numFmtId="3" fontId="3" fillId="0" borderId="0" xfId="1" applyNumberFormat="1" applyFont="1" applyAlignment="1">
      <alignment wrapText="1"/>
    </xf>
    <xf numFmtId="0" fontId="3" fillId="0" borderId="0" xfId="4" applyFont="1" applyAlignment="1">
      <alignment horizontal="left"/>
    </xf>
    <xf numFmtId="0" fontId="3" fillId="0" borderId="0" xfId="3" quotePrefix="1" applyFont="1" applyAlignment="1">
      <alignment horizontal="left"/>
    </xf>
    <xf numFmtId="0" fontId="7" fillId="0" borderId="0" xfId="0" applyFont="1" applyAlignment="1">
      <alignment horizontal="left"/>
    </xf>
    <xf numFmtId="0" fontId="8" fillId="0" borderId="0" xfId="0" applyFont="1" applyAlignment="1">
      <alignment horizontal="left"/>
    </xf>
    <xf numFmtId="0" fontId="3" fillId="0" borderId="9" xfId="2" applyFont="1" applyBorder="1" applyAlignment="1">
      <alignment vertical="justify"/>
    </xf>
    <xf numFmtId="3" fontId="3" fillId="0" borderId="10" xfId="2" applyNumberFormat="1" applyFont="1" applyBorder="1" applyAlignment="1">
      <alignment vertical="justify"/>
    </xf>
    <xf numFmtId="164" fontId="3" fillId="0" borderId="10" xfId="2" applyNumberFormat="1" applyFont="1" applyBorder="1" applyAlignment="1">
      <alignment vertical="justify"/>
    </xf>
    <xf numFmtId="0" fontId="3" fillId="0" borderId="10" xfId="2" applyFont="1" applyBorder="1"/>
    <xf numFmtId="0" fontId="3" fillId="0" borderId="11" xfId="2" applyFont="1" applyBorder="1" applyAlignment="1">
      <alignment vertical="justify"/>
    </xf>
    <xf numFmtId="0" fontId="3" fillId="0" borderId="0" xfId="2" applyFont="1" applyAlignment="1">
      <alignment horizontal="right"/>
    </xf>
    <xf numFmtId="0" fontId="3" fillId="0" borderId="0" xfId="2" applyFont="1" applyAlignment="1">
      <alignment vertical="justify"/>
    </xf>
    <xf numFmtId="3" fontId="3" fillId="0" borderId="0" xfId="2" applyNumberFormat="1" applyFont="1" applyAlignment="1">
      <alignment vertical="justify"/>
    </xf>
    <xf numFmtId="0" fontId="8" fillId="0" borderId="0" xfId="0" applyFont="1"/>
    <xf numFmtId="16" fontId="3" fillId="0" borderId="0" xfId="1" applyNumberFormat="1" applyFont="1"/>
    <xf numFmtId="10" fontId="3" fillId="0" borderId="0" xfId="1" applyNumberFormat="1" applyFont="1" applyAlignment="1">
      <alignment horizontal="left"/>
    </xf>
    <xf numFmtId="10" fontId="3" fillId="0" borderId="0" xfId="1" applyNumberFormat="1" applyFont="1"/>
    <xf numFmtId="10" fontId="3" fillId="0" borderId="0" xfId="1" applyNumberFormat="1" applyFont="1" applyBorder="1"/>
    <xf numFmtId="3" fontId="3" fillId="0" borderId="0" xfId="1" applyNumberFormat="1" applyFont="1" applyBorder="1"/>
    <xf numFmtId="164" fontId="3" fillId="0" borderId="0" xfId="1" applyNumberFormat="1" applyFont="1" applyBorder="1"/>
    <xf numFmtId="10" fontId="3" fillId="0" borderId="0" xfId="1" applyNumberFormat="1" applyFont="1" applyBorder="1" applyAlignment="1">
      <alignment horizontal="left"/>
    </xf>
    <xf numFmtId="10" fontId="3" fillId="0" borderId="0" xfId="1" applyNumberFormat="1" applyFont="1" applyBorder="1" applyAlignment="1">
      <alignment vertical="justify"/>
    </xf>
    <xf numFmtId="164" fontId="3" fillId="0" borderId="3" xfId="1" applyNumberFormat="1" applyFont="1" applyBorder="1" applyAlignment="1">
      <alignment vertical="justify"/>
    </xf>
    <xf numFmtId="0" fontId="3" fillId="0" borderId="0" xfId="1" applyFont="1" applyBorder="1" applyAlignment="1">
      <alignment vertical="justify"/>
    </xf>
    <xf numFmtId="17" fontId="3" fillId="0" borderId="0" xfId="1" applyNumberFormat="1" applyFont="1"/>
    <xf numFmtId="17" fontId="3" fillId="0" borderId="0" xfId="1" applyNumberFormat="1" applyFont="1" applyAlignment="1">
      <alignment horizontal="left"/>
    </xf>
    <xf numFmtId="17" fontId="3" fillId="0" borderId="0" xfId="1" applyNumberFormat="1" applyFont="1" applyBorder="1"/>
    <xf numFmtId="17" fontId="3" fillId="0" borderId="0" xfId="1" applyNumberFormat="1" applyFont="1" applyBorder="1" applyAlignment="1">
      <alignment horizontal="left"/>
    </xf>
    <xf numFmtId="0" fontId="8" fillId="0" borderId="0" xfId="0" quotePrefix="1" applyFont="1" applyAlignment="1">
      <alignment horizontal="left"/>
    </xf>
    <xf numFmtId="0" fontId="6" fillId="0" borderId="0" xfId="1" applyFont="1" applyAlignment="1">
      <alignment horizontal="left"/>
    </xf>
    <xf numFmtId="10" fontId="3" fillId="0" borderId="1" xfId="1" applyNumberFormat="1" applyFont="1" applyBorder="1"/>
    <xf numFmtId="10" fontId="3" fillId="0" borderId="1" xfId="1" applyNumberFormat="1" applyFont="1" applyBorder="1" applyAlignment="1">
      <alignment horizontal="left"/>
    </xf>
    <xf numFmtId="10" fontId="3" fillId="0" borderId="1" xfId="1" applyNumberFormat="1" applyFont="1" applyBorder="1" applyAlignment="1">
      <alignment vertical="justify"/>
    </xf>
    <xf numFmtId="0" fontId="11" fillId="0" borderId="0" xfId="1" applyFont="1"/>
    <xf numFmtId="0" fontId="7" fillId="0" borderId="0" xfId="0" applyFont="1" applyAlignment="1">
      <alignment horizontal="left" vertical="justify"/>
    </xf>
    <xf numFmtId="0" fontId="8" fillId="0" borderId="0" xfId="0" applyFont="1" applyAlignment="1">
      <alignment horizontal="left" vertical="justify"/>
    </xf>
    <xf numFmtId="15" fontId="3" fillId="0" borderId="0" xfId="1" applyNumberFormat="1" applyFont="1"/>
    <xf numFmtId="15" fontId="3" fillId="0" borderId="0" xfId="1" applyNumberFormat="1" applyFont="1" applyAlignment="1">
      <alignment horizontal="left"/>
    </xf>
    <xf numFmtId="15" fontId="3" fillId="0" borderId="1" xfId="1" applyNumberFormat="1" applyFont="1" applyBorder="1"/>
    <xf numFmtId="15" fontId="3" fillId="0" borderId="1" xfId="1" applyNumberFormat="1" applyFont="1" applyBorder="1" applyAlignment="1">
      <alignment horizontal="left"/>
    </xf>
    <xf numFmtId="0" fontId="3" fillId="0" borderId="0" xfId="2" applyFont="1" applyAlignment="1">
      <alignment horizontal="left" vertical="top"/>
    </xf>
    <xf numFmtId="10" fontId="3" fillId="0" borderId="0" xfId="1" applyNumberFormat="1" applyFont="1" applyAlignment="1">
      <alignment vertical="top"/>
    </xf>
    <xf numFmtId="164" fontId="3" fillId="0" borderId="0" xfId="1" applyNumberFormat="1" applyFont="1" applyAlignment="1">
      <alignment vertical="top"/>
    </xf>
    <xf numFmtId="10" fontId="3" fillId="0" borderId="0" xfId="1" applyNumberFormat="1" applyFont="1" applyAlignment="1">
      <alignment vertical="justify"/>
    </xf>
    <xf numFmtId="164" fontId="3" fillId="0" borderId="0" xfId="2" applyNumberFormat="1" applyFont="1" applyAlignment="1">
      <alignment vertical="justify"/>
    </xf>
    <xf numFmtId="0" fontId="3" fillId="0" borderId="0" xfId="2" quotePrefix="1" applyFont="1" applyAlignment="1">
      <alignment horizontal="left"/>
    </xf>
    <xf numFmtId="164" fontId="3" fillId="0" borderId="1" xfId="1" applyNumberFormat="1" applyFont="1" applyBorder="1" applyAlignment="1">
      <alignment horizontal="right"/>
    </xf>
    <xf numFmtId="3" fontId="3" fillId="0" borderId="0" xfId="1" applyNumberFormat="1" applyFont="1" applyAlignment="1">
      <alignment horizontal="right"/>
    </xf>
    <xf numFmtId="3" fontId="3" fillId="0" borderId="0" xfId="1" applyNumberFormat="1" applyFont="1" applyBorder="1" applyAlignment="1">
      <alignment horizontal="right"/>
    </xf>
    <xf numFmtId="164" fontId="3" fillId="0" borderId="0" xfId="1" applyNumberFormat="1" applyFont="1" applyBorder="1" applyAlignment="1">
      <alignment horizontal="right"/>
    </xf>
    <xf numFmtId="0" fontId="3" fillId="0" borderId="0" xfId="0" applyFont="1" applyAlignment="1">
      <alignment horizontal="left"/>
    </xf>
    <xf numFmtId="0" fontId="3" fillId="0" borderId="0" xfId="2" applyFont="1" applyAlignment="1">
      <alignment wrapText="1"/>
    </xf>
    <xf numFmtId="0" fontId="3" fillId="0" borderId="0" xfId="2" quotePrefix="1" applyFont="1" applyAlignment="1">
      <alignment horizontal="left" vertical="justify"/>
    </xf>
    <xf numFmtId="0" fontId="3" fillId="0" borderId="0" xfId="2" quotePrefix="1" applyFont="1" applyAlignment="1">
      <alignment horizontal="left" vertical="top"/>
    </xf>
    <xf numFmtId="0" fontId="3" fillId="0" borderId="3" xfId="2" applyFont="1" applyBorder="1" applyAlignment="1">
      <alignment vertical="justify"/>
    </xf>
    <xf numFmtId="3" fontId="3" fillId="0" borderId="3" xfId="2" applyNumberFormat="1" applyFont="1" applyBorder="1" applyAlignment="1">
      <alignment vertical="justify"/>
    </xf>
    <xf numFmtId="0" fontId="3" fillId="0" borderId="3" xfId="2" applyFont="1" applyBorder="1"/>
    <xf numFmtId="0" fontId="3" fillId="0" borderId="0" xfId="5" applyFont="1" applyAlignment="1">
      <alignment horizontal="left"/>
    </xf>
    <xf numFmtId="164" fontId="3" fillId="0" borderId="3" xfId="2" applyNumberFormat="1" applyFont="1" applyBorder="1" applyAlignment="1">
      <alignment vertical="justify"/>
    </xf>
    <xf numFmtId="0" fontId="3" fillId="0" borderId="0" xfId="1" quotePrefix="1" applyFont="1" applyAlignment="1">
      <alignment horizontal="left"/>
    </xf>
    <xf numFmtId="0" fontId="6" fillId="0" borderId="0" xfId="1" applyFont="1" applyBorder="1" applyAlignment="1">
      <alignment horizontal="left"/>
    </xf>
    <xf numFmtId="3" fontId="3" fillId="0" borderId="3" xfId="1" applyNumberFormat="1" applyFont="1" applyBorder="1"/>
    <xf numFmtId="0" fontId="3" fillId="0" borderId="0" xfId="1" applyFont="1" applyBorder="1" applyAlignment="1">
      <alignment horizontal="left"/>
    </xf>
    <xf numFmtId="4" fontId="3" fillId="0" borderId="10" xfId="2" applyNumberFormat="1" applyFont="1" applyBorder="1" applyAlignment="1">
      <alignment vertical="justify"/>
    </xf>
    <xf numFmtId="3" fontId="3" fillId="0" borderId="1" xfId="1" applyNumberFormat="1" applyFont="1" applyBorder="1" applyAlignment="1">
      <alignment wrapText="1"/>
    </xf>
    <xf numFmtId="0" fontId="3" fillId="0" borderId="0" xfId="1" applyFont="1" applyBorder="1" applyAlignment="1">
      <alignment horizontal="right"/>
    </xf>
    <xf numFmtId="3" fontId="3" fillId="0" borderId="9" xfId="1" applyNumberFormat="1" applyFont="1" applyBorder="1"/>
    <xf numFmtId="3" fontId="3" fillId="0" borderId="10" xfId="1" applyNumberFormat="1" applyFont="1" applyBorder="1"/>
    <xf numFmtId="164" fontId="3" fillId="0" borderId="10" xfId="1" applyNumberFormat="1" applyFont="1" applyBorder="1"/>
    <xf numFmtId="3" fontId="3" fillId="0" borderId="11" xfId="1" applyNumberFormat="1" applyFont="1" applyBorder="1"/>
    <xf numFmtId="0" fontId="6" fillId="0" borderId="0" xfId="1" applyFont="1" applyBorder="1"/>
    <xf numFmtId="0" fontId="3" fillId="0" borderId="0" xfId="1" applyFont="1" applyAlignment="1">
      <alignment wrapText="1"/>
    </xf>
    <xf numFmtId="16" fontId="3" fillId="0" borderId="0" xfId="1" applyNumberFormat="1" applyFont="1" applyAlignment="1">
      <alignment wrapText="1"/>
    </xf>
    <xf numFmtId="1" fontId="3" fillId="0" borderId="0" xfId="1" applyNumberFormat="1" applyFont="1"/>
    <xf numFmtId="3" fontId="3" fillId="0" borderId="0" xfId="6" applyNumberFormat="1" applyFont="1" applyAlignment="1">
      <alignment horizontal="left" vertical="top" wrapText="1"/>
    </xf>
    <xf numFmtId="3" fontId="3" fillId="0" borderId="0" xfId="1" applyNumberFormat="1" applyFont="1" applyBorder="1" applyAlignment="1">
      <alignment wrapText="1"/>
    </xf>
    <xf numFmtId="0" fontId="3" fillId="0" borderId="0" xfId="1" applyFont="1" applyBorder="1" applyAlignment="1">
      <alignment wrapText="1"/>
    </xf>
    <xf numFmtId="15" fontId="3" fillId="0" borderId="0" xfId="1" applyNumberFormat="1" applyFont="1" applyBorder="1"/>
    <xf numFmtId="15" fontId="3" fillId="0" borderId="0" xfId="1" applyNumberFormat="1" applyFont="1" applyBorder="1" applyAlignment="1">
      <alignment wrapText="1"/>
    </xf>
    <xf numFmtId="16" fontId="3" fillId="0" borderId="0" xfId="1" applyNumberFormat="1" applyFont="1" applyBorder="1"/>
    <xf numFmtId="16" fontId="3" fillId="0" borderId="0" xfId="1" applyNumberFormat="1" applyFont="1" applyBorder="1" applyAlignment="1">
      <alignment wrapText="1"/>
    </xf>
    <xf numFmtId="16" fontId="3" fillId="0" borderId="1" xfId="1" applyNumberFormat="1" applyFont="1" applyBorder="1"/>
    <xf numFmtId="0" fontId="3" fillId="0" borderId="0" xfId="2" applyFont="1" applyAlignment="1">
      <alignment horizontal="left" vertical="justify"/>
    </xf>
    <xf numFmtId="0" fontId="3" fillId="0" borderId="1" xfId="1" applyFont="1" applyBorder="1" applyAlignment="1">
      <alignment vertical="justify"/>
    </xf>
    <xf numFmtId="0" fontId="3" fillId="0" borderId="1" xfId="1" applyFont="1" applyBorder="1" applyAlignment="1">
      <alignment horizontal="left"/>
    </xf>
    <xf numFmtId="0" fontId="6" fillId="0" borderId="0" xfId="5" applyFont="1" applyAlignment="1">
      <alignment horizontal="left"/>
    </xf>
    <xf numFmtId="0" fontId="3" fillId="0" borderId="1" xfId="2" applyFont="1" applyBorder="1"/>
    <xf numFmtId="3" fontId="3" fillId="0" borderId="1" xfId="2" applyNumberFormat="1" applyFont="1" applyBorder="1"/>
    <xf numFmtId="164" fontId="3" fillId="0" borderId="1" xfId="2" applyNumberFormat="1" applyFont="1" applyBorder="1"/>
    <xf numFmtId="3" fontId="3" fillId="0" borderId="0" xfId="2" applyNumberFormat="1" applyFont="1"/>
    <xf numFmtId="164" fontId="3" fillId="0" borderId="0" xfId="2" applyNumberFormat="1" applyFont="1"/>
    <xf numFmtId="0" fontId="3" fillId="0" borderId="0" xfId="5" applyFont="1" applyAlignment="1">
      <alignment vertical="top"/>
    </xf>
    <xf numFmtId="0" fontId="3" fillId="0" borderId="0" xfId="5" applyFont="1" applyAlignment="1">
      <alignment vertical="justify"/>
    </xf>
    <xf numFmtId="0" fontId="3" fillId="0" borderId="0" xfId="5" applyFont="1" applyAlignment="1">
      <alignment horizontal="right" vertical="top"/>
    </xf>
    <xf numFmtId="0" fontId="3" fillId="0" borderId="9" xfId="2" applyFont="1" applyBorder="1" applyAlignment="1">
      <alignment horizontal="left"/>
    </xf>
    <xf numFmtId="0" fontId="3" fillId="0" borderId="11" xfId="2" applyFont="1" applyBorder="1"/>
    <xf numFmtId="0" fontId="4" fillId="0" borderId="2" xfId="2" applyBorder="1" applyAlignment="1">
      <alignment horizontal="fill"/>
    </xf>
    <xf numFmtId="0" fontId="4" fillId="0" borderId="3" xfId="2" applyBorder="1" applyAlignment="1">
      <alignment horizontal="fill"/>
    </xf>
    <xf numFmtId="0" fontId="4" fillId="0" borderId="3" xfId="2" applyBorder="1" applyAlignment="1">
      <alignment horizontal="left"/>
    </xf>
    <xf numFmtId="3" fontId="4" fillId="0" borderId="3" xfId="2" applyNumberFormat="1" applyBorder="1" applyAlignment="1">
      <alignment vertical="justify"/>
    </xf>
    <xf numFmtId="164" fontId="4" fillId="0" borderId="3" xfId="2" applyNumberFormat="1" applyBorder="1" applyAlignment="1">
      <alignment vertical="justify"/>
    </xf>
    <xf numFmtId="0" fontId="4" fillId="0" borderId="4" xfId="2" applyBorder="1" applyAlignment="1">
      <alignment horizontal="left"/>
    </xf>
    <xf numFmtId="0" fontId="4" fillId="0" borderId="5" xfId="2" applyBorder="1" applyAlignment="1">
      <alignment horizontal="left"/>
    </xf>
    <xf numFmtId="0" fontId="4" fillId="0" borderId="0" xfId="2" applyAlignment="1">
      <alignment horizontal="left"/>
    </xf>
    <xf numFmtId="3" fontId="4" fillId="0" borderId="0" xfId="2" applyNumberFormat="1" applyAlignment="1">
      <alignment vertical="justify"/>
    </xf>
    <xf numFmtId="164" fontId="4" fillId="0" borderId="0" xfId="2" applyNumberFormat="1" applyAlignment="1">
      <alignment vertical="justify"/>
    </xf>
    <xf numFmtId="3" fontId="4" fillId="0" borderId="0" xfId="2" applyNumberFormat="1"/>
    <xf numFmtId="0" fontId="4" fillId="0" borderId="6" xfId="2" applyBorder="1" applyAlignment="1">
      <alignment horizontal="left"/>
    </xf>
    <xf numFmtId="0" fontId="4" fillId="0" borderId="7" xfId="2" applyBorder="1"/>
    <xf numFmtId="0" fontId="4" fillId="0" borderId="1" xfId="2" applyBorder="1"/>
    <xf numFmtId="0" fontId="4" fillId="0" borderId="1" xfId="2" applyBorder="1" applyAlignment="1">
      <alignment horizontal="left"/>
    </xf>
    <xf numFmtId="3" fontId="4" fillId="0" borderId="1" xfId="2" applyNumberFormat="1" applyBorder="1" applyAlignment="1">
      <alignment vertical="justify"/>
    </xf>
    <xf numFmtId="164" fontId="4" fillId="0" borderId="1" xfId="2" applyNumberFormat="1" applyBorder="1" applyAlignment="1">
      <alignment vertical="justify"/>
    </xf>
    <xf numFmtId="0" fontId="4" fillId="0" borderId="8" xfId="2" applyBorder="1"/>
    <xf numFmtId="0" fontId="14" fillId="0" borderId="0" xfId="1" applyFont="1" applyBorder="1"/>
    <xf numFmtId="0" fontId="9" fillId="0" borderId="0" xfId="1" applyFont="1"/>
    <xf numFmtId="0" fontId="15" fillId="0" borderId="0" xfId="1" applyFont="1" applyBorder="1"/>
    <xf numFmtId="0" fontId="4" fillId="0" borderId="0" xfId="0" applyFont="1"/>
    <xf numFmtId="0" fontId="9" fillId="0" borderId="0" xfId="1" applyFont="1" applyBorder="1" applyAlignment="1">
      <alignment horizontal="left" readingOrder="1"/>
    </xf>
    <xf numFmtId="3" fontId="8" fillId="0" borderId="0" xfId="0" applyNumberFormat="1" applyFont="1" applyAlignment="1">
      <alignment vertical="justify"/>
    </xf>
    <xf numFmtId="0" fontId="8" fillId="0" borderId="0" xfId="0" applyFont="1" applyAlignment="1">
      <alignment vertical="justify"/>
    </xf>
    <xf numFmtId="0" fontId="3" fillId="0" borderId="0" xfId="5" applyFont="1"/>
    <xf numFmtId="0" fontId="3" fillId="0" borderId="0" xfId="1" applyFont="1" applyAlignment="1">
      <alignment wrapText="1" readingOrder="1"/>
    </xf>
    <xf numFmtId="3" fontId="3" fillId="0" borderId="0" xfId="1" applyNumberFormat="1" applyFont="1" applyAlignment="1">
      <alignment vertical="justify" wrapText="1"/>
    </xf>
    <xf numFmtId="0" fontId="3" fillId="0" borderId="0" xfId="1" applyFont="1" applyAlignment="1">
      <alignment vertical="justify" wrapText="1"/>
    </xf>
    <xf numFmtId="0" fontId="9" fillId="0" borderId="0" xfId="1" applyFont="1" applyAlignment="1">
      <alignment horizontal="left" readingOrder="1"/>
    </xf>
    <xf numFmtId="0" fontId="3" fillId="0" borderId="0" xfId="1" applyFont="1" applyAlignment="1">
      <alignment horizontal="left" vertical="top" wrapText="1" readingOrder="1"/>
    </xf>
    <xf numFmtId="0" fontId="9" fillId="0" borderId="0" xfId="1" applyFont="1" applyAlignment="1">
      <alignment horizontal="left" wrapText="1" readingOrder="1"/>
    </xf>
    <xf numFmtId="0" fontId="3" fillId="0" borderId="0" xfId="1" applyFont="1" applyAlignment="1">
      <alignment horizontal="left" vertical="top" readingOrder="1"/>
    </xf>
    <xf numFmtId="0" fontId="3" fillId="0" borderId="0" xfId="7" applyFont="1"/>
    <xf numFmtId="0" fontId="9" fillId="0" borderId="0" xfId="1" applyFont="1" applyAlignment="1">
      <alignment horizontal="left"/>
    </xf>
    <xf numFmtId="0" fontId="9" fillId="0" borderId="0" xfId="1" quotePrefix="1" applyFont="1" applyAlignment="1">
      <alignment horizontal="left" readingOrder="1"/>
    </xf>
    <xf numFmtId="0" fontId="3" fillId="0" borderId="0" xfId="1" applyFont="1" applyAlignment="1">
      <alignment horizontal="fill"/>
    </xf>
    <xf numFmtId="165" fontId="3" fillId="0" borderId="0" xfId="1" applyNumberFormat="1" applyFont="1" applyAlignment="1">
      <alignment vertical="justify"/>
    </xf>
    <xf numFmtId="3" fontId="0" fillId="0" borderId="0" xfId="0" applyNumberFormat="1"/>
    <xf numFmtId="0" fontId="2" fillId="0" borderId="0" xfId="1" quotePrefix="1" applyFont="1" applyBorder="1" applyAlignment="1">
      <alignment horizontal="left" vertical="center"/>
    </xf>
    <xf numFmtId="0" fontId="2" fillId="0" borderId="1" xfId="1" quotePrefix="1" applyFont="1" applyBorder="1" applyAlignment="1">
      <alignment horizontal="left" vertical="center"/>
    </xf>
    <xf numFmtId="0" fontId="13" fillId="0" borderId="1" xfId="1" applyFont="1" applyBorder="1" applyAlignment="1">
      <alignment horizontal="center" vertical="justify"/>
    </xf>
    <xf numFmtId="0" fontId="9" fillId="0" borderId="0" xfId="1" applyFont="1" applyAlignment="1">
      <alignment horizontal="left" readingOrder="1"/>
    </xf>
    <xf numFmtId="0" fontId="3" fillId="0" borderId="0" xfId="1" applyFont="1" applyAlignment="1">
      <alignment horizontal="left" vertical="top" wrapText="1" readingOrder="1"/>
    </xf>
  </cellXfs>
  <cellStyles count="8">
    <cellStyle name="Normal" xfId="0" builtinId="0"/>
    <cellStyle name="Normal 2" xfId="4" xr:uid="{7110FB05-040A-4AE5-9440-F142F76E4021}"/>
    <cellStyle name="Normal 3" xfId="6" xr:uid="{0B2B03BC-BCED-409F-B849-392A5AA15D6D}"/>
    <cellStyle name="Normal 4" xfId="7" xr:uid="{1DE23004-2179-47EF-9CC3-909AEF7EC94F}"/>
    <cellStyle name="Normal_2001Summary" xfId="1" xr:uid="{5D9626D8-67E3-4988-96C3-3CB1A38EA94A}"/>
    <cellStyle name="Normal_2012 Early Summer Near Finals" xfId="3" xr:uid="{FFFA5BAC-41CC-46C9-9ED8-F696A26F0A21}"/>
    <cellStyle name="Normal_E Sum Detailed Esc" xfId="2" xr:uid="{7D7CDC07-20C5-4B69-BB63-F00FCCCC9039}"/>
    <cellStyle name="Normal_E Sum Detailed Esc 2" xfId="5" xr:uid="{DB466B41-1F7A-416B-B4FD-B93B11AF17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E4D5-329C-447B-B5F3-31248CA6AB60}">
  <dimension ref="A1:T448"/>
  <sheetViews>
    <sheetView workbookViewId="0">
      <selection activeCell="B366" sqref="B366"/>
    </sheetView>
  </sheetViews>
  <sheetFormatPr defaultColWidth="7.21875" defaultRowHeight="10.199999999999999" x14ac:dyDescent="0.2"/>
  <cols>
    <col min="1" max="1" width="1.77734375" style="11" customWidth="1"/>
    <col min="2" max="2" width="26.21875" style="3" customWidth="1"/>
    <col min="3" max="3" width="17.21875" style="2" bestFit="1" customWidth="1"/>
    <col min="4" max="4" width="12.77734375" style="34" bestFit="1" customWidth="1"/>
    <col min="5" max="7" width="9.77734375" style="34" customWidth="1"/>
    <col min="8" max="8" width="10.77734375" style="34" customWidth="1"/>
    <col min="9" max="9" width="9.77734375" style="35" customWidth="1"/>
    <col min="10" max="10" width="11.77734375" style="34" customWidth="1"/>
    <col min="11" max="11" width="1.77734375" style="3" customWidth="1"/>
    <col min="12" max="12" width="50.77734375" style="3" customWidth="1"/>
    <col min="13" max="14" width="7.21875" style="3"/>
    <col min="15" max="15" width="9.21875" style="3" customWidth="1"/>
    <col min="16" max="16384" width="7.21875" style="3"/>
  </cols>
  <sheetData>
    <row r="1" spans="1:14" ht="12" customHeight="1" x14ac:dyDescent="0.2">
      <c r="A1" s="208" t="s">
        <v>0</v>
      </c>
      <c r="B1" s="208"/>
      <c r="C1" s="208"/>
      <c r="D1" s="208"/>
      <c r="E1" s="208"/>
      <c r="F1" s="208"/>
      <c r="G1" s="208"/>
      <c r="H1" s="208"/>
      <c r="I1" s="208"/>
      <c r="J1" s="208"/>
      <c r="K1" s="208"/>
      <c r="L1" s="208"/>
      <c r="M1" s="1"/>
      <c r="N1" s="2"/>
    </row>
    <row r="2" spans="1:14" x14ac:dyDescent="0.2">
      <c r="A2" s="208"/>
      <c r="B2" s="208"/>
      <c r="C2" s="208"/>
      <c r="D2" s="208"/>
      <c r="E2" s="208"/>
      <c r="F2" s="208"/>
      <c r="G2" s="208"/>
      <c r="H2" s="208"/>
      <c r="I2" s="208"/>
      <c r="J2" s="208"/>
      <c r="K2" s="208"/>
      <c r="L2" s="208"/>
      <c r="N2" s="2"/>
    </row>
    <row r="3" spans="1:14" ht="12" customHeight="1" x14ac:dyDescent="0.2">
      <c r="A3" s="209"/>
      <c r="B3" s="209"/>
      <c r="C3" s="209"/>
      <c r="D3" s="209"/>
      <c r="E3" s="209"/>
      <c r="F3" s="209"/>
      <c r="G3" s="209"/>
      <c r="H3" s="209"/>
      <c r="I3" s="209"/>
      <c r="J3" s="209"/>
      <c r="K3" s="209"/>
      <c r="L3" s="209"/>
      <c r="N3" s="2"/>
    </row>
    <row r="4" spans="1:14" ht="12.75" customHeight="1" x14ac:dyDescent="0.25">
      <c r="A4" s="4"/>
      <c r="B4" s="5"/>
      <c r="C4" s="6"/>
      <c r="D4" s="7"/>
      <c r="E4" s="7"/>
      <c r="F4" s="7"/>
      <c r="G4" s="7"/>
      <c r="H4" s="7"/>
      <c r="I4" s="8"/>
      <c r="J4" s="7"/>
      <c r="K4" s="5"/>
      <c r="L4" s="9"/>
    </row>
    <row r="5" spans="1:14" ht="12.75" customHeight="1" x14ac:dyDescent="0.25">
      <c r="A5" s="10" t="s">
        <v>1</v>
      </c>
      <c r="B5" s="11"/>
      <c r="C5" s="12" t="s">
        <v>2</v>
      </c>
      <c r="D5" s="13" t="s">
        <v>3</v>
      </c>
      <c r="E5" s="14"/>
      <c r="F5" s="14"/>
      <c r="G5" s="14"/>
      <c r="H5" s="14"/>
      <c r="I5" s="15" t="s">
        <v>4</v>
      </c>
      <c r="J5" s="13" t="s">
        <v>5</v>
      </c>
      <c r="K5" s="16"/>
      <c r="L5" s="17"/>
    </row>
    <row r="6" spans="1:14" ht="17.100000000000001" customHeight="1" x14ac:dyDescent="0.25">
      <c r="A6" s="18"/>
      <c r="B6" s="19" t="s">
        <v>6</v>
      </c>
      <c r="C6" s="20" t="s">
        <v>7</v>
      </c>
      <c r="D6" s="14" t="s">
        <v>8</v>
      </c>
      <c r="E6" s="13" t="s">
        <v>9</v>
      </c>
      <c r="F6" s="13" t="s">
        <v>10</v>
      </c>
      <c r="G6" s="13" t="s">
        <v>11</v>
      </c>
      <c r="H6" s="13" t="s">
        <v>12</v>
      </c>
      <c r="I6" s="15" t="s">
        <v>13</v>
      </c>
      <c r="J6" s="13" t="s">
        <v>322</v>
      </c>
      <c r="K6" s="16"/>
      <c r="L6" s="21" t="s">
        <v>14</v>
      </c>
    </row>
    <row r="7" spans="1:14" ht="12.75" customHeight="1" x14ac:dyDescent="0.25">
      <c r="A7" s="22"/>
      <c r="B7" s="23"/>
      <c r="C7" s="24"/>
      <c r="D7" s="25"/>
      <c r="E7" s="25"/>
      <c r="F7" s="25"/>
      <c r="G7" s="25"/>
      <c r="H7" s="25"/>
      <c r="I7" s="26"/>
      <c r="J7" s="25"/>
      <c r="K7" s="23"/>
      <c r="L7" s="27"/>
    </row>
    <row r="8" spans="1:14" ht="6" customHeight="1" x14ac:dyDescent="0.25">
      <c r="B8" s="28"/>
      <c r="C8" s="29"/>
      <c r="D8" s="30"/>
      <c r="E8" s="30"/>
      <c r="F8" s="30"/>
      <c r="G8" s="30"/>
      <c r="H8" s="30"/>
      <c r="I8" s="31"/>
      <c r="J8" s="30"/>
      <c r="K8" s="28"/>
      <c r="L8" s="29"/>
    </row>
    <row r="9" spans="1:14" x14ac:dyDescent="0.2">
      <c r="A9" s="32" t="s">
        <v>15</v>
      </c>
      <c r="C9" s="33"/>
      <c r="L9" s="33"/>
    </row>
    <row r="10" spans="1:14" x14ac:dyDescent="0.2">
      <c r="B10" s="36" t="s">
        <v>16</v>
      </c>
      <c r="C10" s="33"/>
      <c r="L10" s="33"/>
    </row>
    <row r="11" spans="1:14" x14ac:dyDescent="0.2">
      <c r="B11" s="37" t="s">
        <v>17</v>
      </c>
      <c r="C11" s="38"/>
      <c r="D11" s="38">
        <v>4</v>
      </c>
      <c r="E11" s="38">
        <v>4</v>
      </c>
      <c r="F11" s="38">
        <v>0</v>
      </c>
      <c r="G11" s="38">
        <v>1</v>
      </c>
      <c r="H11" s="38">
        <v>3</v>
      </c>
      <c r="I11" s="39">
        <v>1</v>
      </c>
      <c r="J11" s="38">
        <v>3</v>
      </c>
      <c r="K11" s="40"/>
      <c r="L11" s="34" t="s">
        <v>399</v>
      </c>
    </row>
    <row r="12" spans="1:14" s="45" customFormat="1" ht="20.399999999999999" x14ac:dyDescent="0.2">
      <c r="A12" s="41"/>
      <c r="B12" s="37" t="s">
        <v>18</v>
      </c>
      <c r="C12" s="42" t="s">
        <v>19</v>
      </c>
      <c r="D12" s="42">
        <v>2648</v>
      </c>
      <c r="E12" s="42">
        <v>2648</v>
      </c>
      <c r="F12" s="42">
        <v>0</v>
      </c>
      <c r="G12" s="42">
        <v>820</v>
      </c>
      <c r="H12" s="42">
        <v>1828</v>
      </c>
      <c r="I12" s="43">
        <v>1</v>
      </c>
      <c r="J12" s="42">
        <v>1828</v>
      </c>
      <c r="K12" s="44"/>
      <c r="L12" s="34"/>
    </row>
    <row r="13" spans="1:14" x14ac:dyDescent="0.2">
      <c r="B13" s="37" t="s">
        <v>20</v>
      </c>
      <c r="C13" s="46"/>
      <c r="D13" s="34">
        <v>19</v>
      </c>
      <c r="E13" s="34">
        <v>19</v>
      </c>
      <c r="F13" s="46">
        <v>0</v>
      </c>
      <c r="G13" s="46">
        <v>6</v>
      </c>
      <c r="H13" s="46">
        <v>13</v>
      </c>
      <c r="I13" s="47">
        <v>1</v>
      </c>
      <c r="J13" s="46">
        <v>13</v>
      </c>
      <c r="K13" s="48"/>
      <c r="L13" s="46" t="s">
        <v>399</v>
      </c>
    </row>
    <row r="14" spans="1:14" ht="12" customHeight="1" x14ac:dyDescent="0.2">
      <c r="B14" s="37" t="s">
        <v>21</v>
      </c>
      <c r="C14" s="49"/>
      <c r="D14" s="34">
        <v>0</v>
      </c>
      <c r="E14" s="34">
        <v>0</v>
      </c>
      <c r="F14" s="49">
        <v>0</v>
      </c>
      <c r="G14" s="49">
        <v>0</v>
      </c>
      <c r="H14" s="49">
        <v>0</v>
      </c>
      <c r="I14" s="50">
        <v>0</v>
      </c>
      <c r="J14" s="49">
        <v>0</v>
      </c>
      <c r="K14" s="51"/>
      <c r="L14" s="49"/>
    </row>
    <row r="15" spans="1:14" x14ac:dyDescent="0.2">
      <c r="B15" s="52" t="s">
        <v>22</v>
      </c>
      <c r="C15" s="53"/>
      <c r="D15" s="54">
        <v>2671</v>
      </c>
      <c r="E15" s="54">
        <v>2671</v>
      </c>
      <c r="F15" s="54">
        <v>0</v>
      </c>
      <c r="G15" s="54">
        <v>827</v>
      </c>
      <c r="H15" s="54">
        <v>1844</v>
      </c>
      <c r="I15" s="55">
        <v>1</v>
      </c>
      <c r="J15" s="54">
        <v>1844</v>
      </c>
      <c r="K15" s="56"/>
      <c r="L15" s="53"/>
    </row>
    <row r="16" spans="1:14" x14ac:dyDescent="0.2">
      <c r="C16" s="33"/>
      <c r="L16" s="33"/>
    </row>
    <row r="17" spans="2:12" x14ac:dyDescent="0.2">
      <c r="B17" s="57" t="s">
        <v>23</v>
      </c>
      <c r="C17" s="33"/>
      <c r="L17" s="33"/>
    </row>
    <row r="18" spans="2:12" x14ac:dyDescent="0.2">
      <c r="B18" s="58" t="s">
        <v>24</v>
      </c>
      <c r="C18" s="59"/>
      <c r="D18" s="59">
        <v>1262.9999999999998</v>
      </c>
      <c r="E18" s="59">
        <v>1071.6363999999999</v>
      </c>
      <c r="F18" s="59">
        <v>191.36359999999999</v>
      </c>
      <c r="G18" s="59">
        <v>599.60609999999997</v>
      </c>
      <c r="H18" s="59">
        <v>472.03030000000001</v>
      </c>
      <c r="I18" s="60">
        <v>0.87878787878787878</v>
      </c>
      <c r="J18" s="59">
        <v>415</v>
      </c>
      <c r="K18" s="59"/>
      <c r="L18" s="61" t="s">
        <v>25</v>
      </c>
    </row>
    <row r="19" spans="2:12" x14ac:dyDescent="0.2">
      <c r="B19" s="62" t="s">
        <v>22</v>
      </c>
      <c r="C19" s="33"/>
      <c r="D19" s="34">
        <v>1262.9999999999998</v>
      </c>
      <c r="E19" s="34">
        <v>1071.6363999999999</v>
      </c>
      <c r="F19" s="34">
        <v>191.36359999999999</v>
      </c>
      <c r="G19" s="34">
        <v>599.60609999999997</v>
      </c>
      <c r="H19" s="34">
        <v>472.03030000000001</v>
      </c>
      <c r="I19" s="55">
        <v>0.87918084919548589</v>
      </c>
      <c r="J19" s="34">
        <v>415</v>
      </c>
      <c r="L19" s="33"/>
    </row>
    <row r="20" spans="2:12" x14ac:dyDescent="0.2">
      <c r="C20" s="33"/>
      <c r="L20" s="33"/>
    </row>
    <row r="21" spans="2:12" x14ac:dyDescent="0.2">
      <c r="B21" s="32" t="s">
        <v>26</v>
      </c>
      <c r="C21" s="33"/>
      <c r="L21" s="33"/>
    </row>
    <row r="22" spans="2:12" x14ac:dyDescent="0.2">
      <c r="B22" s="63" t="s">
        <v>27</v>
      </c>
      <c r="C22" s="3" t="s">
        <v>28</v>
      </c>
      <c r="D22" s="38">
        <v>1435</v>
      </c>
      <c r="E22" s="38">
        <v>1435</v>
      </c>
      <c r="F22" s="38">
        <v>0</v>
      </c>
      <c r="G22" s="38">
        <v>640</v>
      </c>
      <c r="H22" s="38">
        <v>795</v>
      </c>
      <c r="I22" s="39">
        <v>0.8867924528301887</v>
      </c>
      <c r="J22" s="38">
        <v>705</v>
      </c>
      <c r="K22" s="40"/>
      <c r="L22" s="38"/>
    </row>
    <row r="23" spans="2:12" x14ac:dyDescent="0.2">
      <c r="B23" s="63" t="s">
        <v>29</v>
      </c>
      <c r="C23" s="64" t="s">
        <v>30</v>
      </c>
      <c r="D23" s="65">
        <v>16157</v>
      </c>
      <c r="E23" s="65">
        <v>16157</v>
      </c>
      <c r="F23" s="65">
        <v>0</v>
      </c>
      <c r="G23" s="65">
        <v>7961</v>
      </c>
      <c r="H23" s="65">
        <v>8196</v>
      </c>
      <c r="I23" s="66">
        <v>0.94964028776978415</v>
      </c>
      <c r="J23" s="65">
        <v>7783</v>
      </c>
      <c r="K23" s="51"/>
      <c r="L23" s="65"/>
    </row>
    <row r="24" spans="2:12" x14ac:dyDescent="0.2">
      <c r="B24" s="52" t="s">
        <v>22</v>
      </c>
      <c r="C24" s="33"/>
      <c r="D24" s="34">
        <v>17592</v>
      </c>
      <c r="E24" s="34">
        <v>17592</v>
      </c>
      <c r="F24" s="34">
        <v>0</v>
      </c>
      <c r="G24" s="34">
        <v>8601</v>
      </c>
      <c r="H24" s="34">
        <v>8991</v>
      </c>
      <c r="I24" s="35">
        <v>0.9440551662773885</v>
      </c>
      <c r="J24" s="34">
        <v>8488</v>
      </c>
      <c r="L24" s="33"/>
    </row>
    <row r="25" spans="2:12" ht="11.25" customHeight="1" x14ac:dyDescent="0.2">
      <c r="B25" s="63"/>
      <c r="C25" s="33"/>
      <c r="L25" s="33"/>
    </row>
    <row r="26" spans="2:12" x14ac:dyDescent="0.2">
      <c r="B26" s="67" t="s">
        <v>31</v>
      </c>
      <c r="C26" s="33"/>
      <c r="L26" s="33"/>
    </row>
    <row r="27" spans="2:12" ht="11.4" x14ac:dyDescent="0.2">
      <c r="B27" s="68" t="s">
        <v>323</v>
      </c>
      <c r="C27" s="33"/>
      <c r="D27" s="34">
        <v>0</v>
      </c>
      <c r="E27" s="34">
        <v>0</v>
      </c>
      <c r="F27" s="34">
        <v>0</v>
      </c>
      <c r="G27" s="34">
        <v>0</v>
      </c>
      <c r="H27" s="34">
        <v>0</v>
      </c>
      <c r="I27" s="69" t="s">
        <v>32</v>
      </c>
      <c r="J27" s="34">
        <v>0</v>
      </c>
      <c r="K27" s="38"/>
      <c r="L27" s="34"/>
    </row>
    <row r="28" spans="2:12" ht="11.4" x14ac:dyDescent="0.2">
      <c r="B28" s="68" t="s">
        <v>324</v>
      </c>
      <c r="C28" s="34"/>
      <c r="D28" s="34">
        <v>0</v>
      </c>
      <c r="E28" s="34">
        <v>0</v>
      </c>
      <c r="F28" s="34">
        <v>0</v>
      </c>
      <c r="G28" s="34">
        <v>0</v>
      </c>
      <c r="H28" s="34">
        <v>0</v>
      </c>
      <c r="I28" s="69" t="s">
        <v>32</v>
      </c>
      <c r="J28" s="34">
        <v>0</v>
      </c>
      <c r="K28" s="40"/>
      <c r="L28" s="34"/>
    </row>
    <row r="29" spans="2:12" ht="12.75" customHeight="1" x14ac:dyDescent="0.2">
      <c r="B29" s="70" t="s">
        <v>325</v>
      </c>
      <c r="C29" s="38" t="s">
        <v>33</v>
      </c>
      <c r="D29" s="38">
        <v>6383</v>
      </c>
      <c r="E29" s="38">
        <v>6383</v>
      </c>
      <c r="F29" s="38">
        <v>0</v>
      </c>
      <c r="G29" s="38">
        <v>2451</v>
      </c>
      <c r="H29" s="38">
        <v>3932</v>
      </c>
      <c r="I29" s="71">
        <v>0.96883116883116882</v>
      </c>
      <c r="J29" s="38">
        <v>3809</v>
      </c>
      <c r="K29" s="40"/>
      <c r="L29" s="38"/>
    </row>
    <row r="30" spans="2:12" ht="11.4" hidden="1" x14ac:dyDescent="0.2">
      <c r="B30" s="70" t="s">
        <v>326</v>
      </c>
      <c r="C30" s="38"/>
      <c r="D30" s="38">
        <v>0</v>
      </c>
      <c r="E30" s="38">
        <v>0</v>
      </c>
      <c r="F30" s="38"/>
      <c r="G30" s="38"/>
      <c r="H30" s="38"/>
      <c r="I30" s="71"/>
      <c r="J30" s="38"/>
      <c r="K30" s="40"/>
      <c r="L30" s="38"/>
    </row>
    <row r="31" spans="2:12" ht="12.75" customHeight="1" x14ac:dyDescent="0.2">
      <c r="B31" s="72" t="s">
        <v>34</v>
      </c>
      <c r="C31" s="38"/>
      <c r="D31" s="38">
        <v>0</v>
      </c>
      <c r="E31" s="38">
        <v>0</v>
      </c>
      <c r="F31" s="38">
        <v>0</v>
      </c>
      <c r="G31" s="38">
        <v>0</v>
      </c>
      <c r="H31" s="38">
        <v>0</v>
      </c>
      <c r="I31" s="71">
        <v>0</v>
      </c>
      <c r="J31" s="38">
        <v>0</v>
      </c>
      <c r="K31" s="40"/>
      <c r="L31" s="73"/>
    </row>
    <row r="32" spans="2:12" ht="12.75" hidden="1" customHeight="1" x14ac:dyDescent="0.2">
      <c r="B32" s="72" t="s">
        <v>327</v>
      </c>
      <c r="C32" s="38"/>
      <c r="D32" s="38">
        <v>0</v>
      </c>
      <c r="E32" s="38">
        <v>0</v>
      </c>
      <c r="F32" s="38"/>
      <c r="G32" s="38"/>
      <c r="H32" s="38"/>
      <c r="I32" s="71"/>
      <c r="J32" s="38"/>
      <c r="K32" s="40"/>
      <c r="L32" s="73"/>
    </row>
    <row r="33" spans="1:13" ht="12.75" customHeight="1" x14ac:dyDescent="0.2">
      <c r="B33" s="70" t="s">
        <v>328</v>
      </c>
      <c r="C33" s="38"/>
      <c r="D33" s="38">
        <v>0</v>
      </c>
      <c r="E33" s="38">
        <v>0</v>
      </c>
      <c r="F33" s="38">
        <v>0</v>
      </c>
      <c r="G33" s="38">
        <v>0</v>
      </c>
      <c r="H33" s="38">
        <v>0</v>
      </c>
      <c r="I33" s="71" t="s">
        <v>32</v>
      </c>
      <c r="J33" s="38">
        <v>0</v>
      </c>
      <c r="K33" s="40"/>
      <c r="L33" s="73"/>
    </row>
    <row r="34" spans="1:13" ht="12.75" customHeight="1" x14ac:dyDescent="0.2">
      <c r="B34" s="74" t="s">
        <v>329</v>
      </c>
      <c r="C34" s="38"/>
      <c r="D34" s="38">
        <v>0</v>
      </c>
      <c r="E34" s="38">
        <v>0</v>
      </c>
      <c r="F34" s="38">
        <v>0</v>
      </c>
      <c r="G34" s="38">
        <v>0</v>
      </c>
      <c r="H34" s="38">
        <v>0</v>
      </c>
      <c r="I34" s="71" t="s">
        <v>32</v>
      </c>
      <c r="J34" s="38">
        <v>0</v>
      </c>
      <c r="K34" s="40"/>
      <c r="L34" s="73"/>
    </row>
    <row r="35" spans="1:13" s="45" customFormat="1" x14ac:dyDescent="0.2">
      <c r="A35" s="41"/>
      <c r="B35" s="75" t="s">
        <v>35</v>
      </c>
      <c r="C35" s="38" t="s">
        <v>36</v>
      </c>
      <c r="D35" s="38">
        <v>10842</v>
      </c>
      <c r="E35" s="38">
        <v>10828</v>
      </c>
      <c r="F35" s="38">
        <v>14</v>
      </c>
      <c r="G35" s="38">
        <v>6302</v>
      </c>
      <c r="H35" s="38">
        <v>4526</v>
      </c>
      <c r="I35" s="39">
        <v>0.99176045016077174</v>
      </c>
      <c r="J35" s="38">
        <v>4489</v>
      </c>
      <c r="K35" s="40"/>
      <c r="L35" s="73"/>
    </row>
    <row r="36" spans="1:13" ht="12.75" hidden="1" customHeight="1" x14ac:dyDescent="0.2">
      <c r="B36" s="70" t="s">
        <v>330</v>
      </c>
      <c r="C36" s="38"/>
      <c r="D36" s="38">
        <v>0</v>
      </c>
      <c r="E36" s="38">
        <v>0</v>
      </c>
      <c r="F36" s="38"/>
      <c r="G36" s="38"/>
      <c r="H36" s="38"/>
      <c r="I36" s="39"/>
      <c r="J36" s="38"/>
      <c r="K36" s="40"/>
      <c r="L36" s="38"/>
    </row>
    <row r="37" spans="1:13" ht="12.75" customHeight="1" x14ac:dyDescent="0.2">
      <c r="B37" s="70" t="s">
        <v>331</v>
      </c>
      <c r="C37" s="38"/>
      <c r="D37" s="38">
        <v>2</v>
      </c>
      <c r="E37" s="38">
        <v>2</v>
      </c>
      <c r="F37" s="38">
        <v>0</v>
      </c>
      <c r="G37" s="38">
        <v>1</v>
      </c>
      <c r="H37" s="38">
        <v>1</v>
      </c>
      <c r="I37" s="39">
        <v>0.98132189328318287</v>
      </c>
      <c r="J37" s="38">
        <v>1</v>
      </c>
      <c r="K37" s="40"/>
      <c r="L37" s="73" t="s">
        <v>400</v>
      </c>
    </row>
    <row r="38" spans="1:13" ht="12.75" hidden="1" customHeight="1" x14ac:dyDescent="0.2">
      <c r="B38" s="70" t="s">
        <v>332</v>
      </c>
      <c r="C38" s="38"/>
      <c r="D38" s="38">
        <v>0</v>
      </c>
      <c r="E38" s="38">
        <v>0</v>
      </c>
      <c r="F38" s="38"/>
      <c r="G38" s="38"/>
      <c r="H38" s="38"/>
      <c r="I38" s="39"/>
      <c r="J38" s="38"/>
      <c r="K38" s="40"/>
      <c r="L38" s="73"/>
    </row>
    <row r="39" spans="1:13" ht="12.75" customHeight="1" x14ac:dyDescent="0.2">
      <c r="B39" s="72" t="s">
        <v>333</v>
      </c>
      <c r="C39" s="65" t="s">
        <v>37</v>
      </c>
      <c r="D39" s="65">
        <v>1384</v>
      </c>
      <c r="E39" s="65">
        <v>1384</v>
      </c>
      <c r="F39" s="65">
        <v>0</v>
      </c>
      <c r="G39" s="65">
        <v>692</v>
      </c>
      <c r="H39" s="65">
        <v>692</v>
      </c>
      <c r="I39" s="66">
        <v>0.9</v>
      </c>
      <c r="J39" s="65">
        <v>623</v>
      </c>
      <c r="K39" s="51"/>
      <c r="L39" s="65"/>
    </row>
    <row r="40" spans="1:13" x14ac:dyDescent="0.2">
      <c r="B40" s="52" t="s">
        <v>22</v>
      </c>
      <c r="C40" s="33"/>
      <c r="D40" s="34">
        <v>18611</v>
      </c>
      <c r="E40" s="34">
        <v>18597</v>
      </c>
      <c r="F40" s="34">
        <v>14</v>
      </c>
      <c r="G40" s="34">
        <v>9446</v>
      </c>
      <c r="H40" s="34">
        <v>9151</v>
      </c>
      <c r="I40" s="35">
        <v>0.97497541252322151</v>
      </c>
      <c r="J40" s="34">
        <v>8922</v>
      </c>
      <c r="L40" s="33"/>
    </row>
    <row r="41" spans="1:13" ht="11.25" customHeight="1" x14ac:dyDescent="0.2">
      <c r="C41" s="33"/>
      <c r="L41" s="33"/>
    </row>
    <row r="42" spans="1:13" x14ac:dyDescent="0.2">
      <c r="B42" s="76" t="s">
        <v>38</v>
      </c>
      <c r="C42" s="33"/>
      <c r="L42" s="33"/>
    </row>
    <row r="43" spans="1:13" ht="12" hidden="1" customHeight="1" x14ac:dyDescent="0.2">
      <c r="B43" s="58" t="s">
        <v>334</v>
      </c>
      <c r="C43" s="33"/>
      <c r="D43" s="46">
        <v>0</v>
      </c>
      <c r="E43" s="46">
        <v>0</v>
      </c>
      <c r="K43" s="38"/>
      <c r="L43" s="34"/>
    </row>
    <row r="44" spans="1:13" x14ac:dyDescent="0.2">
      <c r="B44" s="77" t="s">
        <v>39</v>
      </c>
      <c r="C44" s="64" t="s">
        <v>40</v>
      </c>
      <c r="D44" s="65">
        <v>153</v>
      </c>
      <c r="E44" s="65">
        <v>153</v>
      </c>
      <c r="F44" s="65">
        <v>0</v>
      </c>
      <c r="G44" s="65">
        <v>87</v>
      </c>
      <c r="H44" s="65">
        <v>66</v>
      </c>
      <c r="I44" s="66">
        <v>0.875</v>
      </c>
      <c r="J44" s="65">
        <v>57.75</v>
      </c>
      <c r="K44" s="51"/>
      <c r="L44" s="49"/>
    </row>
    <row r="45" spans="1:13" x14ac:dyDescent="0.2">
      <c r="B45" s="62" t="s">
        <v>22</v>
      </c>
      <c r="C45" s="33"/>
      <c r="D45" s="34">
        <v>153</v>
      </c>
      <c r="E45" s="34">
        <v>153</v>
      </c>
      <c r="F45" s="34">
        <v>0</v>
      </c>
      <c r="G45" s="34">
        <v>87</v>
      </c>
      <c r="H45" s="34">
        <v>66</v>
      </c>
      <c r="I45" s="35">
        <v>0.875</v>
      </c>
      <c r="J45" s="34">
        <v>57.75</v>
      </c>
      <c r="L45" s="33"/>
    </row>
    <row r="46" spans="1:13" x14ac:dyDescent="0.2">
      <c r="C46" s="33"/>
      <c r="L46" s="33"/>
    </row>
    <row r="47" spans="1:13" ht="4.05" customHeight="1" x14ac:dyDescent="0.2">
      <c r="B47" s="72"/>
      <c r="C47" s="78"/>
      <c r="D47" s="79"/>
      <c r="E47" s="79"/>
      <c r="F47" s="79"/>
      <c r="G47" s="79"/>
      <c r="H47" s="79"/>
      <c r="I47" s="80"/>
      <c r="J47" s="79"/>
      <c r="K47" s="81"/>
      <c r="L47" s="82"/>
    </row>
    <row r="48" spans="1:13" x14ac:dyDescent="0.2">
      <c r="B48" s="83" t="s">
        <v>41</v>
      </c>
      <c r="C48" s="84"/>
      <c r="D48" s="85">
        <v>40290</v>
      </c>
      <c r="E48" s="85">
        <v>40084.636400000003</v>
      </c>
      <c r="F48" s="85">
        <v>205</v>
      </c>
      <c r="G48" s="85">
        <v>19560.606100000001</v>
      </c>
      <c r="H48" s="85">
        <v>20524.030299999999</v>
      </c>
      <c r="I48" s="35">
        <v>0.96115381392708243</v>
      </c>
      <c r="J48" s="85">
        <v>19726.75</v>
      </c>
      <c r="K48" s="72"/>
      <c r="L48" s="84"/>
      <c r="M48" s="38"/>
    </row>
    <row r="49" spans="1:12" ht="11.85" customHeight="1" x14ac:dyDescent="0.2">
      <c r="C49" s="33"/>
      <c r="L49" s="33"/>
    </row>
    <row r="50" spans="1:12" x14ac:dyDescent="0.2">
      <c r="A50" s="76" t="s">
        <v>42</v>
      </c>
      <c r="B50" s="86"/>
      <c r="C50" s="33"/>
      <c r="L50" s="33"/>
    </row>
    <row r="51" spans="1:12" x14ac:dyDescent="0.2">
      <c r="B51" s="57" t="s">
        <v>43</v>
      </c>
      <c r="C51" s="33"/>
      <c r="L51" s="33"/>
    </row>
    <row r="52" spans="1:12" x14ac:dyDescent="0.2">
      <c r="B52" s="77" t="s">
        <v>44</v>
      </c>
      <c r="C52" s="87" t="s">
        <v>45</v>
      </c>
      <c r="D52" s="38">
        <v>171001</v>
      </c>
      <c r="E52" s="38">
        <v>171001</v>
      </c>
      <c r="F52" s="38">
        <v>0</v>
      </c>
      <c r="G52" s="38">
        <v>85500</v>
      </c>
      <c r="H52" s="38">
        <v>85501</v>
      </c>
      <c r="I52" s="39">
        <v>0.87</v>
      </c>
      <c r="J52" s="38">
        <v>74386</v>
      </c>
      <c r="K52" s="88"/>
      <c r="L52" s="89" t="s">
        <v>46</v>
      </c>
    </row>
    <row r="53" spans="1:12" x14ac:dyDescent="0.2">
      <c r="B53" s="77" t="s">
        <v>47</v>
      </c>
      <c r="C53" s="87"/>
      <c r="D53" s="38">
        <v>1187</v>
      </c>
      <c r="E53" s="38">
        <v>1187</v>
      </c>
      <c r="F53" s="38">
        <v>0</v>
      </c>
      <c r="G53" s="38">
        <v>593</v>
      </c>
      <c r="H53" s="38">
        <v>594</v>
      </c>
      <c r="I53" s="39">
        <v>0.87</v>
      </c>
      <c r="J53" s="38">
        <v>517</v>
      </c>
      <c r="K53" s="88"/>
      <c r="L53" s="89" t="s">
        <v>46</v>
      </c>
    </row>
    <row r="54" spans="1:12" hidden="1" x14ac:dyDescent="0.2">
      <c r="B54" s="77" t="s">
        <v>48</v>
      </c>
      <c r="C54" s="87"/>
      <c r="D54" s="38">
        <v>0</v>
      </c>
      <c r="E54" s="38">
        <v>0</v>
      </c>
      <c r="F54" s="38"/>
      <c r="G54" s="38"/>
      <c r="H54" s="38"/>
      <c r="I54" s="39"/>
      <c r="J54" s="38"/>
      <c r="K54" s="88"/>
      <c r="L54" s="89"/>
    </row>
    <row r="55" spans="1:12" hidden="1" x14ac:dyDescent="0.2">
      <c r="B55" s="77" t="s">
        <v>49</v>
      </c>
      <c r="C55" s="89"/>
      <c r="D55" s="38">
        <v>0</v>
      </c>
      <c r="E55" s="38">
        <v>0</v>
      </c>
      <c r="F55" s="38"/>
      <c r="G55" s="38"/>
      <c r="H55" s="38"/>
      <c r="I55" s="39"/>
      <c r="J55" s="38"/>
      <c r="K55" s="88"/>
      <c r="L55" s="89"/>
    </row>
    <row r="56" spans="1:12" ht="12.3" hidden="1" customHeight="1" x14ac:dyDescent="0.2">
      <c r="B56" s="77" t="s">
        <v>50</v>
      </c>
      <c r="C56" s="89"/>
      <c r="D56" s="38">
        <v>0</v>
      </c>
      <c r="E56" s="38">
        <v>0</v>
      </c>
      <c r="F56" s="38"/>
      <c r="G56" s="38"/>
      <c r="H56" s="38"/>
      <c r="I56" s="39"/>
      <c r="J56" s="38"/>
      <c r="K56" s="88"/>
      <c r="L56" s="89"/>
    </row>
    <row r="57" spans="1:12" ht="12.3" hidden="1" customHeight="1" x14ac:dyDescent="0.2">
      <c r="B57" s="77" t="s">
        <v>51</v>
      </c>
      <c r="C57" s="89"/>
      <c r="D57" s="38">
        <v>0</v>
      </c>
      <c r="E57" s="38">
        <v>0</v>
      </c>
      <c r="F57" s="38"/>
      <c r="G57" s="38"/>
      <c r="H57" s="38"/>
      <c r="I57" s="39"/>
      <c r="J57" s="38"/>
      <c r="K57" s="88"/>
      <c r="L57" s="89"/>
    </row>
    <row r="58" spans="1:12" ht="12.3" hidden="1" customHeight="1" x14ac:dyDescent="0.2">
      <c r="B58" s="77" t="s">
        <v>335</v>
      </c>
      <c r="C58" s="89"/>
      <c r="D58" s="38">
        <v>0</v>
      </c>
      <c r="E58" s="38">
        <v>0</v>
      </c>
      <c r="F58" s="38"/>
      <c r="G58" s="38"/>
      <c r="H58" s="38"/>
      <c r="I58" s="39"/>
      <c r="J58" s="38"/>
      <c r="K58" s="88"/>
      <c r="L58" s="89"/>
    </row>
    <row r="59" spans="1:12" ht="12.3" customHeight="1" x14ac:dyDescent="0.2">
      <c r="B59" s="77" t="s">
        <v>52</v>
      </c>
      <c r="C59" s="89"/>
      <c r="D59" s="38">
        <v>25</v>
      </c>
      <c r="E59" s="38">
        <v>25</v>
      </c>
      <c r="F59" s="38">
        <v>0</v>
      </c>
      <c r="G59" s="38">
        <v>12</v>
      </c>
      <c r="H59" s="38">
        <v>13</v>
      </c>
      <c r="I59" s="39">
        <v>0.87</v>
      </c>
      <c r="J59" s="38">
        <v>11</v>
      </c>
      <c r="K59" s="88"/>
      <c r="L59" s="89" t="s">
        <v>46</v>
      </c>
    </row>
    <row r="60" spans="1:12" hidden="1" x14ac:dyDescent="0.2">
      <c r="B60" s="77" t="s">
        <v>53</v>
      </c>
      <c r="C60" s="89"/>
      <c r="D60" s="38">
        <v>0</v>
      </c>
      <c r="E60" s="38">
        <v>0</v>
      </c>
      <c r="F60" s="38"/>
      <c r="G60" s="38"/>
      <c r="H60" s="38"/>
      <c r="I60" s="39"/>
      <c r="J60" s="38"/>
      <c r="K60" s="88"/>
      <c r="L60" s="89"/>
    </row>
    <row r="61" spans="1:12" hidden="1" x14ac:dyDescent="0.2">
      <c r="B61" s="77" t="s">
        <v>54</v>
      </c>
      <c r="C61" s="89"/>
      <c r="D61" s="38">
        <v>0</v>
      </c>
      <c r="E61" s="38">
        <v>0</v>
      </c>
      <c r="F61" s="38"/>
      <c r="G61" s="38"/>
      <c r="H61" s="38"/>
      <c r="I61" s="39"/>
      <c r="J61" s="38"/>
      <c r="K61" s="88"/>
      <c r="L61" s="89"/>
    </row>
    <row r="62" spans="1:12" x14ac:dyDescent="0.2">
      <c r="B62" s="77" t="s">
        <v>55</v>
      </c>
      <c r="C62" s="90"/>
      <c r="D62" s="38">
        <v>875</v>
      </c>
      <c r="E62" s="38">
        <v>875</v>
      </c>
      <c r="F62" s="91">
        <v>0</v>
      </c>
      <c r="G62" s="91">
        <v>438</v>
      </c>
      <c r="H62" s="91">
        <v>437</v>
      </c>
      <c r="I62" s="92">
        <v>0.87</v>
      </c>
      <c r="J62" s="91">
        <v>380</v>
      </c>
      <c r="K62" s="93"/>
      <c r="L62" s="90" t="s">
        <v>46</v>
      </c>
    </row>
    <row r="63" spans="1:12" ht="12" hidden="1" customHeight="1" x14ac:dyDescent="0.2">
      <c r="B63" s="77" t="s">
        <v>56</v>
      </c>
      <c r="C63" s="90"/>
      <c r="D63" s="38">
        <v>0</v>
      </c>
      <c r="E63" s="38">
        <v>0</v>
      </c>
      <c r="F63" s="91"/>
      <c r="G63" s="91"/>
      <c r="H63" s="91"/>
      <c r="I63" s="92"/>
      <c r="J63" s="91"/>
      <c r="K63" s="93"/>
      <c r="L63" s="90"/>
    </row>
    <row r="64" spans="1:12" ht="12" hidden="1" customHeight="1" x14ac:dyDescent="0.2">
      <c r="B64" s="3" t="s">
        <v>57</v>
      </c>
      <c r="C64" s="94"/>
      <c r="D64" s="34">
        <v>0</v>
      </c>
      <c r="E64" s="34">
        <v>0</v>
      </c>
      <c r="F64" s="46"/>
      <c r="G64" s="46"/>
      <c r="H64" s="46"/>
      <c r="I64" s="47"/>
      <c r="J64" s="46"/>
      <c r="K64" s="93"/>
      <c r="L64" s="94"/>
    </row>
    <row r="65" spans="2:13" x14ac:dyDescent="0.2">
      <c r="B65" s="62" t="s">
        <v>22</v>
      </c>
      <c r="C65" s="53"/>
      <c r="D65" s="54">
        <v>173088</v>
      </c>
      <c r="E65" s="54">
        <v>173088</v>
      </c>
      <c r="F65" s="54">
        <v>0</v>
      </c>
      <c r="G65" s="54">
        <v>86543</v>
      </c>
      <c r="H65" s="54">
        <v>86545</v>
      </c>
      <c r="I65" s="95">
        <v>0.86999826679761971</v>
      </c>
      <c r="J65" s="54">
        <v>75294</v>
      </c>
      <c r="K65" s="56"/>
      <c r="L65" s="53"/>
    </row>
    <row r="66" spans="2:13" ht="11.25" customHeight="1" x14ac:dyDescent="0.2">
      <c r="B66" s="62"/>
      <c r="C66" s="96"/>
      <c r="D66" s="46"/>
      <c r="E66" s="46"/>
      <c r="F66" s="46"/>
      <c r="G66" s="46"/>
      <c r="H66" s="46"/>
      <c r="I66" s="47"/>
      <c r="J66" s="46"/>
      <c r="K66" s="11"/>
      <c r="L66" s="96"/>
    </row>
    <row r="67" spans="2:13" x14ac:dyDescent="0.2">
      <c r="B67" s="57" t="s">
        <v>58</v>
      </c>
      <c r="C67" s="33"/>
      <c r="L67" s="33"/>
    </row>
    <row r="68" spans="2:13" x14ac:dyDescent="0.2">
      <c r="B68" s="77" t="s">
        <v>59</v>
      </c>
      <c r="C68" s="97" t="s">
        <v>60</v>
      </c>
      <c r="D68" s="38">
        <v>116</v>
      </c>
      <c r="E68" s="38">
        <v>116</v>
      </c>
      <c r="F68" s="38">
        <v>0</v>
      </c>
      <c r="G68" s="38">
        <v>58</v>
      </c>
      <c r="H68" s="38">
        <v>58</v>
      </c>
      <c r="I68" s="39">
        <v>1</v>
      </c>
      <c r="J68" s="38">
        <v>58</v>
      </c>
      <c r="K68" s="98"/>
      <c r="L68" s="97" t="s">
        <v>61</v>
      </c>
    </row>
    <row r="69" spans="2:13" ht="11.25" hidden="1" customHeight="1" x14ac:dyDescent="0.2">
      <c r="B69" s="77" t="s">
        <v>62</v>
      </c>
      <c r="C69" s="97"/>
      <c r="D69" s="38">
        <v>0</v>
      </c>
      <c r="E69" s="38">
        <v>0</v>
      </c>
      <c r="F69" s="38"/>
      <c r="G69" s="38"/>
      <c r="H69" s="38"/>
      <c r="I69" s="39"/>
      <c r="J69" s="38"/>
      <c r="K69" s="98"/>
      <c r="L69" s="97"/>
    </row>
    <row r="70" spans="2:13" x14ac:dyDescent="0.2">
      <c r="B70" s="77" t="s">
        <v>63</v>
      </c>
      <c r="C70" s="99"/>
      <c r="D70" s="38">
        <v>9</v>
      </c>
      <c r="E70" s="38">
        <v>9</v>
      </c>
      <c r="F70" s="91">
        <v>0</v>
      </c>
      <c r="G70" s="91">
        <v>4</v>
      </c>
      <c r="H70" s="91">
        <v>5</v>
      </c>
      <c r="I70" s="92">
        <v>1</v>
      </c>
      <c r="J70" s="91">
        <v>5</v>
      </c>
      <c r="K70" s="100"/>
      <c r="L70" s="99" t="s">
        <v>61</v>
      </c>
    </row>
    <row r="71" spans="2:13" ht="12.75" hidden="1" customHeight="1" x14ac:dyDescent="0.2">
      <c r="B71" s="77" t="s">
        <v>64</v>
      </c>
      <c r="C71" s="3"/>
      <c r="D71" s="38">
        <v>0</v>
      </c>
      <c r="E71" s="38">
        <v>0</v>
      </c>
      <c r="F71" s="38"/>
      <c r="G71" s="38"/>
      <c r="H71" s="38"/>
      <c r="I71" s="39"/>
      <c r="J71" s="38"/>
      <c r="K71" s="38"/>
      <c r="L71" s="38"/>
    </row>
    <row r="72" spans="2:13" hidden="1" x14ac:dyDescent="0.2">
      <c r="B72" s="77" t="s">
        <v>65</v>
      </c>
      <c r="C72" s="3"/>
      <c r="D72" s="38">
        <v>0</v>
      </c>
      <c r="E72" s="38">
        <v>0</v>
      </c>
      <c r="F72" s="38"/>
      <c r="G72" s="38"/>
      <c r="H72" s="38"/>
      <c r="I72" s="39"/>
      <c r="J72" s="38"/>
      <c r="K72" s="40"/>
      <c r="L72" s="38"/>
    </row>
    <row r="73" spans="2:13" hidden="1" x14ac:dyDescent="0.2">
      <c r="B73" s="101" t="s">
        <v>66</v>
      </c>
      <c r="C73" s="3"/>
      <c r="D73" s="38">
        <v>0</v>
      </c>
      <c r="E73" s="38">
        <v>0</v>
      </c>
      <c r="F73" s="38"/>
      <c r="G73" s="38"/>
      <c r="H73" s="38"/>
      <c r="I73" s="39"/>
      <c r="J73" s="38"/>
      <c r="K73" s="2"/>
    </row>
    <row r="74" spans="2:13" hidden="1" x14ac:dyDescent="0.2">
      <c r="B74" s="77" t="s">
        <v>67</v>
      </c>
      <c r="C74" s="11"/>
      <c r="D74" s="38">
        <v>0</v>
      </c>
      <c r="E74" s="38">
        <v>0</v>
      </c>
      <c r="F74" s="91"/>
      <c r="G74" s="91"/>
      <c r="H74" s="91"/>
      <c r="I74" s="92"/>
      <c r="J74" s="91"/>
      <c r="K74" s="48"/>
      <c r="L74" s="91"/>
    </row>
    <row r="75" spans="2:13" hidden="1" x14ac:dyDescent="0.2">
      <c r="B75" s="77" t="s">
        <v>68</v>
      </c>
      <c r="C75" s="3"/>
      <c r="D75" s="38">
        <v>0</v>
      </c>
      <c r="E75" s="38">
        <v>0</v>
      </c>
      <c r="F75" s="38"/>
      <c r="G75" s="38"/>
      <c r="H75" s="38"/>
      <c r="I75" s="39"/>
      <c r="J75" s="38"/>
    </row>
    <row r="76" spans="2:13" x14ac:dyDescent="0.2">
      <c r="B76" s="62" t="s">
        <v>22</v>
      </c>
      <c r="C76" s="53"/>
      <c r="D76" s="54">
        <v>125</v>
      </c>
      <c r="E76" s="54">
        <v>125</v>
      </c>
      <c r="F76" s="54">
        <v>0</v>
      </c>
      <c r="G76" s="54">
        <v>62</v>
      </c>
      <c r="H76" s="54">
        <v>63</v>
      </c>
      <c r="I76" s="95">
        <v>1</v>
      </c>
      <c r="J76" s="54">
        <v>63</v>
      </c>
      <c r="K76" s="56"/>
      <c r="L76" s="53"/>
    </row>
    <row r="77" spans="2:13" x14ac:dyDescent="0.2">
      <c r="C77" s="33"/>
      <c r="L77" s="33"/>
    </row>
    <row r="78" spans="2:13" ht="19.5" customHeight="1" x14ac:dyDescent="0.2">
      <c r="B78" s="102" t="s">
        <v>69</v>
      </c>
      <c r="C78" s="33"/>
      <c r="L78" s="33"/>
    </row>
    <row r="79" spans="2:13" x14ac:dyDescent="0.2">
      <c r="B79" s="77" t="s">
        <v>70</v>
      </c>
      <c r="C79" s="103" t="s">
        <v>71</v>
      </c>
      <c r="D79" s="65">
        <v>36775</v>
      </c>
      <c r="E79" s="65">
        <v>36775</v>
      </c>
      <c r="F79" s="65">
        <v>0</v>
      </c>
      <c r="G79" s="65">
        <v>18575</v>
      </c>
      <c r="H79" s="65">
        <v>18200</v>
      </c>
      <c r="I79" s="66">
        <v>0.94206318050054216</v>
      </c>
      <c r="J79" s="65">
        <v>17122</v>
      </c>
      <c r="K79" s="104"/>
      <c r="L79" s="105"/>
      <c r="M79" s="106"/>
    </row>
    <row r="80" spans="2:13" x14ac:dyDescent="0.2">
      <c r="B80" s="62" t="s">
        <v>22</v>
      </c>
      <c r="C80" s="33"/>
      <c r="D80" s="34">
        <v>36775</v>
      </c>
      <c r="E80" s="34">
        <v>36775</v>
      </c>
      <c r="F80" s="34">
        <v>0</v>
      </c>
      <c r="G80" s="34">
        <v>18575</v>
      </c>
      <c r="H80" s="34">
        <v>18200</v>
      </c>
      <c r="I80" s="95">
        <v>0.94206327372764787</v>
      </c>
      <c r="J80" s="34">
        <v>17122</v>
      </c>
      <c r="L80" s="33"/>
    </row>
    <row r="81" spans="1:12" x14ac:dyDescent="0.2">
      <c r="C81" s="33"/>
      <c r="L81" s="33"/>
    </row>
    <row r="82" spans="1:12" x14ac:dyDescent="0.2">
      <c r="B82" s="107" t="s">
        <v>72</v>
      </c>
      <c r="C82" s="33"/>
      <c r="L82" s="33"/>
    </row>
    <row r="83" spans="1:12" ht="12" hidden="1" customHeight="1" x14ac:dyDescent="0.2">
      <c r="B83" s="108" t="s">
        <v>336</v>
      </c>
      <c r="C83" s="33"/>
      <c r="D83" s="38">
        <v>0</v>
      </c>
      <c r="E83" s="38">
        <v>0</v>
      </c>
      <c r="K83" s="38"/>
      <c r="L83" s="34"/>
    </row>
    <row r="84" spans="1:12" ht="11.25" customHeight="1" x14ac:dyDescent="0.2">
      <c r="B84" s="77" t="s">
        <v>73</v>
      </c>
      <c r="C84" s="109" t="s">
        <v>74</v>
      </c>
      <c r="D84" s="38">
        <v>33690</v>
      </c>
      <c r="E84" s="38">
        <v>33253</v>
      </c>
      <c r="F84" s="38">
        <v>437</v>
      </c>
      <c r="G84" s="38">
        <v>18446</v>
      </c>
      <c r="H84" s="38">
        <v>14807</v>
      </c>
      <c r="I84" s="39">
        <v>0.96453034927093928</v>
      </c>
      <c r="J84" s="38">
        <v>14282</v>
      </c>
      <c r="K84" s="110"/>
      <c r="L84" s="109"/>
    </row>
    <row r="85" spans="1:12" x14ac:dyDescent="0.2">
      <c r="B85" s="77" t="s">
        <v>75</v>
      </c>
      <c r="C85" s="111" t="s">
        <v>76</v>
      </c>
      <c r="D85" s="65">
        <v>40684</v>
      </c>
      <c r="E85" s="65">
        <v>40387</v>
      </c>
      <c r="F85" s="65">
        <v>297</v>
      </c>
      <c r="G85" s="65">
        <v>23454</v>
      </c>
      <c r="H85" s="65">
        <v>16933</v>
      </c>
      <c r="I85" s="66">
        <v>0.73492175966932394</v>
      </c>
      <c r="J85" s="65">
        <v>12444.430156480663</v>
      </c>
      <c r="K85" s="112"/>
      <c r="L85" s="111"/>
    </row>
    <row r="86" spans="1:12" x14ac:dyDescent="0.2">
      <c r="B86" s="62" t="s">
        <v>22</v>
      </c>
      <c r="C86" s="33"/>
      <c r="D86" s="34">
        <v>74374</v>
      </c>
      <c r="E86" s="34">
        <v>73640</v>
      </c>
      <c r="F86" s="34">
        <v>734</v>
      </c>
      <c r="G86" s="34">
        <v>41900</v>
      </c>
      <c r="H86" s="34">
        <v>31740</v>
      </c>
      <c r="I86" s="95">
        <v>0.84204253801136308</v>
      </c>
      <c r="J86" s="34">
        <v>26726.430156480663</v>
      </c>
      <c r="L86" s="33"/>
    </row>
    <row r="87" spans="1:12" x14ac:dyDescent="0.2">
      <c r="C87" s="33"/>
      <c r="L87" s="33"/>
    </row>
    <row r="88" spans="1:12" ht="4.05" customHeight="1" x14ac:dyDescent="0.2">
      <c r="B88" s="72"/>
      <c r="C88" s="78"/>
      <c r="D88" s="79"/>
      <c r="E88" s="79"/>
      <c r="F88" s="79"/>
      <c r="G88" s="79"/>
      <c r="H88" s="79"/>
      <c r="I88" s="80"/>
      <c r="J88" s="79"/>
      <c r="K88" s="81"/>
      <c r="L88" s="82"/>
    </row>
    <row r="89" spans="1:12" x14ac:dyDescent="0.2">
      <c r="B89" s="83" t="s">
        <v>41</v>
      </c>
      <c r="C89" s="84"/>
      <c r="D89" s="85">
        <v>284362</v>
      </c>
      <c r="E89" s="85">
        <v>283628</v>
      </c>
      <c r="F89" s="85">
        <v>734</v>
      </c>
      <c r="G89" s="85">
        <v>147080</v>
      </c>
      <c r="H89" s="85">
        <v>136548</v>
      </c>
      <c r="I89" s="95">
        <v>0.87315272999040938</v>
      </c>
      <c r="J89" s="85">
        <v>119205.43015648067</v>
      </c>
      <c r="K89" s="72"/>
      <c r="L89" s="84"/>
    </row>
    <row r="90" spans="1:12" ht="12.75" customHeight="1" x14ac:dyDescent="0.2">
      <c r="C90" s="33"/>
      <c r="L90" s="33"/>
    </row>
    <row r="91" spans="1:12" x14ac:dyDescent="0.2">
      <c r="A91" s="76" t="s">
        <v>77</v>
      </c>
      <c r="C91" s="33"/>
      <c r="L91" s="33"/>
    </row>
    <row r="92" spans="1:12" x14ac:dyDescent="0.2">
      <c r="B92" s="32" t="s">
        <v>78</v>
      </c>
      <c r="C92" s="33"/>
      <c r="L92" s="33"/>
    </row>
    <row r="93" spans="1:12" ht="12.3" hidden="1" customHeight="1" x14ac:dyDescent="0.2">
      <c r="B93" s="63" t="s">
        <v>337</v>
      </c>
      <c r="C93" s="3"/>
      <c r="D93" s="34">
        <v>0</v>
      </c>
      <c r="E93" s="38">
        <v>0</v>
      </c>
      <c r="F93" s="38"/>
      <c r="G93" s="38"/>
      <c r="H93" s="38"/>
      <c r="I93" s="39"/>
      <c r="J93" s="38"/>
      <c r="K93" s="38"/>
      <c r="L93" s="34"/>
    </row>
    <row r="94" spans="1:12" hidden="1" x14ac:dyDescent="0.2">
      <c r="B94" s="63" t="s">
        <v>79</v>
      </c>
      <c r="C94" s="3"/>
      <c r="D94" s="34">
        <v>0</v>
      </c>
      <c r="E94" s="38">
        <v>0</v>
      </c>
      <c r="F94" s="38"/>
      <c r="G94" s="38"/>
      <c r="H94" s="38"/>
      <c r="I94" s="39"/>
      <c r="J94" s="38"/>
      <c r="K94" s="33"/>
      <c r="L94" s="33"/>
    </row>
    <row r="95" spans="1:12" x14ac:dyDescent="0.2">
      <c r="B95" s="63" t="s">
        <v>80</v>
      </c>
      <c r="C95" s="3" t="s">
        <v>36</v>
      </c>
      <c r="D95" s="34">
        <v>19281</v>
      </c>
      <c r="E95" s="38">
        <v>19239</v>
      </c>
      <c r="F95" s="38">
        <v>42</v>
      </c>
      <c r="G95" s="38">
        <v>11432</v>
      </c>
      <c r="H95" s="38">
        <v>7807</v>
      </c>
      <c r="I95" s="39">
        <v>0.96814530850675429</v>
      </c>
      <c r="J95" s="38">
        <v>7558</v>
      </c>
      <c r="K95" s="34"/>
      <c r="L95" s="34"/>
    </row>
    <row r="96" spans="1:12" ht="12" hidden="1" customHeight="1" x14ac:dyDescent="0.2">
      <c r="B96" s="113" t="s">
        <v>81</v>
      </c>
      <c r="C96" s="114"/>
      <c r="D96" s="42">
        <v>0</v>
      </c>
      <c r="E96" s="42">
        <v>0</v>
      </c>
      <c r="F96" s="42"/>
      <c r="G96" s="42"/>
      <c r="H96" s="42"/>
      <c r="I96" s="115"/>
      <c r="J96" s="42"/>
      <c r="K96" s="42"/>
      <c r="L96" s="42"/>
    </row>
    <row r="97" spans="1:12" ht="12" customHeight="1" x14ac:dyDescent="0.2">
      <c r="B97" s="3" t="s">
        <v>82</v>
      </c>
      <c r="C97" s="116"/>
      <c r="D97" s="34">
        <v>366</v>
      </c>
      <c r="E97" s="34">
        <v>365</v>
      </c>
      <c r="F97" s="34">
        <v>1</v>
      </c>
      <c r="G97" s="34">
        <v>217</v>
      </c>
      <c r="H97" s="34">
        <v>148</v>
      </c>
      <c r="I97" s="35">
        <v>0.96811897146548775</v>
      </c>
      <c r="J97" s="34">
        <v>143</v>
      </c>
      <c r="K97" s="34"/>
      <c r="L97" s="34" t="s">
        <v>401</v>
      </c>
    </row>
    <row r="98" spans="1:12" x14ac:dyDescent="0.2">
      <c r="B98" s="62" t="s">
        <v>22</v>
      </c>
      <c r="C98" s="53"/>
      <c r="D98" s="54">
        <v>19647</v>
      </c>
      <c r="E98" s="54">
        <v>19604</v>
      </c>
      <c r="F98" s="54">
        <v>43</v>
      </c>
      <c r="G98" s="54">
        <v>11649</v>
      </c>
      <c r="H98" s="54">
        <v>7955</v>
      </c>
      <c r="I98" s="95">
        <v>0.96807039597737277</v>
      </c>
      <c r="J98" s="54">
        <v>7701</v>
      </c>
      <c r="K98" s="56"/>
      <c r="L98" s="53"/>
    </row>
    <row r="99" spans="1:12" x14ac:dyDescent="0.2">
      <c r="C99" s="33"/>
      <c r="L99" s="33"/>
    </row>
    <row r="100" spans="1:12" x14ac:dyDescent="0.2">
      <c r="B100" s="57" t="s">
        <v>83</v>
      </c>
      <c r="C100" s="33"/>
      <c r="L100" s="33"/>
    </row>
    <row r="101" spans="1:12" ht="12" hidden="1" customHeight="1" x14ac:dyDescent="0.2">
      <c r="B101" s="63" t="s">
        <v>84</v>
      </c>
      <c r="C101" s="33"/>
      <c r="D101" s="46">
        <v>0</v>
      </c>
      <c r="E101" s="46">
        <v>0</v>
      </c>
      <c r="K101" s="38"/>
      <c r="L101" s="34"/>
    </row>
    <row r="102" spans="1:12" hidden="1" x14ac:dyDescent="0.2">
      <c r="B102" s="108" t="s">
        <v>85</v>
      </c>
      <c r="C102" s="33"/>
      <c r="D102" s="46">
        <v>0</v>
      </c>
      <c r="E102" s="46">
        <v>0</v>
      </c>
      <c r="L102" s="33"/>
    </row>
    <row r="103" spans="1:12" x14ac:dyDescent="0.2">
      <c r="B103" s="77" t="s">
        <v>86</v>
      </c>
      <c r="C103" s="64" t="s">
        <v>87</v>
      </c>
      <c r="D103" s="65">
        <v>9392</v>
      </c>
      <c r="E103" s="65">
        <v>9025</v>
      </c>
      <c r="F103" s="65">
        <v>367</v>
      </c>
      <c r="G103" s="65">
        <v>4153</v>
      </c>
      <c r="H103" s="65">
        <v>4872</v>
      </c>
      <c r="I103" s="66">
        <v>0.97868852459016398</v>
      </c>
      <c r="J103" s="65">
        <v>4768</v>
      </c>
      <c r="K103" s="65"/>
      <c r="L103" s="49"/>
    </row>
    <row r="104" spans="1:12" x14ac:dyDescent="0.2">
      <c r="B104" s="62" t="s">
        <v>22</v>
      </c>
      <c r="C104" s="33"/>
      <c r="D104" s="34">
        <v>9392</v>
      </c>
      <c r="E104" s="34">
        <v>9025</v>
      </c>
      <c r="F104" s="34">
        <v>367</v>
      </c>
      <c r="G104" s="34">
        <v>4153</v>
      </c>
      <c r="H104" s="34">
        <v>4872</v>
      </c>
      <c r="I104" s="95">
        <v>0.97865353037766833</v>
      </c>
      <c r="J104" s="34">
        <v>4768</v>
      </c>
      <c r="L104" s="33"/>
    </row>
    <row r="105" spans="1:12" x14ac:dyDescent="0.2">
      <c r="C105" s="33"/>
      <c r="L105" s="33"/>
    </row>
    <row r="106" spans="1:12" ht="4.05" customHeight="1" x14ac:dyDescent="0.2">
      <c r="B106" s="72"/>
      <c r="C106" s="78"/>
      <c r="D106" s="79"/>
      <c r="E106" s="79"/>
      <c r="F106" s="79"/>
      <c r="G106" s="79"/>
      <c r="H106" s="79"/>
      <c r="I106" s="80"/>
      <c r="J106" s="79"/>
      <c r="K106" s="81"/>
      <c r="L106" s="82"/>
    </row>
    <row r="107" spans="1:12" x14ac:dyDescent="0.2">
      <c r="B107" s="83" t="s">
        <v>41</v>
      </c>
      <c r="C107" s="84"/>
      <c r="D107" s="85">
        <v>29039</v>
      </c>
      <c r="E107" s="85">
        <v>28629</v>
      </c>
      <c r="F107" s="85">
        <v>410</v>
      </c>
      <c r="G107" s="85">
        <v>15802</v>
      </c>
      <c r="H107" s="85">
        <v>12827</v>
      </c>
      <c r="I107" s="117">
        <v>0.97209012239806658</v>
      </c>
      <c r="J107" s="85">
        <v>12469</v>
      </c>
      <c r="K107" s="72"/>
      <c r="L107" s="84"/>
    </row>
    <row r="108" spans="1:12" ht="11.85" customHeight="1" x14ac:dyDescent="0.2">
      <c r="C108" s="33"/>
      <c r="L108" s="33"/>
    </row>
    <row r="109" spans="1:12" x14ac:dyDescent="0.2">
      <c r="A109" s="32" t="s">
        <v>88</v>
      </c>
      <c r="C109" s="33"/>
      <c r="L109" s="33"/>
    </row>
    <row r="110" spans="1:12" x14ac:dyDescent="0.2">
      <c r="A110" s="32"/>
      <c r="B110" s="32" t="s">
        <v>89</v>
      </c>
      <c r="C110" s="33"/>
      <c r="L110" s="33"/>
    </row>
    <row r="111" spans="1:12" hidden="1" x14ac:dyDescent="0.2">
      <c r="A111" s="32"/>
      <c r="B111" s="63" t="s">
        <v>90</v>
      </c>
      <c r="C111" s="3"/>
      <c r="D111" s="38">
        <v>0</v>
      </c>
      <c r="E111" s="38">
        <v>0</v>
      </c>
      <c r="F111" s="38"/>
      <c r="G111" s="38"/>
      <c r="H111" s="38"/>
      <c r="I111" s="39"/>
      <c r="J111" s="38"/>
    </row>
    <row r="112" spans="1:12" x14ac:dyDescent="0.2">
      <c r="B112" s="118" t="s">
        <v>91</v>
      </c>
      <c r="C112" s="3"/>
      <c r="D112" s="38">
        <v>12</v>
      </c>
      <c r="E112" s="38">
        <v>12</v>
      </c>
      <c r="F112" s="38">
        <v>0</v>
      </c>
      <c r="G112" s="38">
        <v>6</v>
      </c>
      <c r="H112" s="38">
        <v>6</v>
      </c>
      <c r="I112" s="39">
        <v>0.98855884071086819</v>
      </c>
      <c r="J112" s="38">
        <v>6</v>
      </c>
      <c r="K112" s="40"/>
      <c r="L112" s="73" t="s">
        <v>92</v>
      </c>
    </row>
    <row r="113" spans="2:12" x14ac:dyDescent="0.2">
      <c r="B113" s="118" t="s">
        <v>93</v>
      </c>
      <c r="C113" s="3"/>
      <c r="D113" s="38">
        <v>320</v>
      </c>
      <c r="E113" s="38">
        <v>320</v>
      </c>
      <c r="F113" s="38">
        <v>0</v>
      </c>
      <c r="G113" s="38">
        <v>140</v>
      </c>
      <c r="H113" s="38">
        <v>180</v>
      </c>
      <c r="I113" s="39">
        <v>0.98855884071086819</v>
      </c>
      <c r="J113" s="38">
        <v>178</v>
      </c>
      <c r="K113" s="40"/>
      <c r="L113" s="73" t="s">
        <v>92</v>
      </c>
    </row>
    <row r="114" spans="2:12" x14ac:dyDescent="0.2">
      <c r="B114" s="118" t="s">
        <v>94</v>
      </c>
      <c r="C114" s="3" t="s">
        <v>95</v>
      </c>
      <c r="D114" s="38">
        <v>7379</v>
      </c>
      <c r="E114" s="38">
        <v>7344</v>
      </c>
      <c r="F114" s="38">
        <v>35</v>
      </c>
      <c r="G114" s="38">
        <v>3164</v>
      </c>
      <c r="H114" s="38">
        <v>4180</v>
      </c>
      <c r="I114" s="39">
        <v>0.97516339869281043</v>
      </c>
      <c r="J114" s="38">
        <v>4076</v>
      </c>
      <c r="K114" s="40"/>
      <c r="L114" s="38"/>
    </row>
    <row r="115" spans="2:12" hidden="1" x14ac:dyDescent="0.2">
      <c r="B115" s="118" t="s">
        <v>96</v>
      </c>
      <c r="C115" s="3"/>
      <c r="D115" s="38">
        <v>0</v>
      </c>
      <c r="E115" s="38">
        <v>0</v>
      </c>
      <c r="F115" s="38"/>
      <c r="G115" s="38"/>
      <c r="H115" s="38"/>
      <c r="I115" s="39"/>
      <c r="J115" s="38"/>
      <c r="K115" s="40"/>
      <c r="L115" s="38"/>
    </row>
    <row r="116" spans="2:12" x14ac:dyDescent="0.2">
      <c r="B116" s="118" t="s">
        <v>97</v>
      </c>
      <c r="C116" s="3"/>
      <c r="D116" s="38">
        <v>22</v>
      </c>
      <c r="E116" s="38">
        <v>22</v>
      </c>
      <c r="F116" s="38">
        <v>0</v>
      </c>
      <c r="G116" s="38">
        <v>11</v>
      </c>
      <c r="H116" s="38">
        <v>11</v>
      </c>
      <c r="I116" s="39">
        <v>0.98855884071086819</v>
      </c>
      <c r="J116" s="38">
        <v>11</v>
      </c>
      <c r="K116" s="40"/>
      <c r="L116" s="73" t="s">
        <v>92</v>
      </c>
    </row>
    <row r="117" spans="2:12" x14ac:dyDescent="0.2">
      <c r="B117" s="63" t="s">
        <v>98</v>
      </c>
      <c r="C117" s="3"/>
      <c r="D117" s="38">
        <v>691</v>
      </c>
      <c r="E117" s="38">
        <v>691</v>
      </c>
      <c r="F117" s="38">
        <v>0</v>
      </c>
      <c r="G117" s="38">
        <v>343</v>
      </c>
      <c r="H117" s="38">
        <v>348</v>
      </c>
      <c r="I117" s="39">
        <v>0.98855884071086819</v>
      </c>
      <c r="J117" s="38">
        <v>344</v>
      </c>
      <c r="K117" s="40"/>
      <c r="L117" s="73" t="s">
        <v>92</v>
      </c>
    </row>
    <row r="118" spans="2:12" ht="11.4" x14ac:dyDescent="0.2">
      <c r="B118" s="63" t="s">
        <v>338</v>
      </c>
      <c r="C118" s="3"/>
      <c r="D118" s="38">
        <v>0</v>
      </c>
      <c r="E118" s="38">
        <v>0</v>
      </c>
      <c r="F118" s="38">
        <v>0</v>
      </c>
      <c r="G118" s="38">
        <v>0</v>
      </c>
      <c r="H118" s="38">
        <v>0</v>
      </c>
      <c r="I118" s="71" t="s">
        <v>32</v>
      </c>
      <c r="J118" s="38">
        <v>0</v>
      </c>
      <c r="K118" s="40"/>
      <c r="L118" s="38"/>
    </row>
    <row r="119" spans="2:12" ht="11.4" x14ac:dyDescent="0.2">
      <c r="B119" s="63" t="s">
        <v>339</v>
      </c>
      <c r="C119" s="3"/>
      <c r="D119" s="38">
        <v>0</v>
      </c>
      <c r="E119" s="38">
        <v>0</v>
      </c>
      <c r="F119" s="38">
        <v>0</v>
      </c>
      <c r="G119" s="38">
        <v>0</v>
      </c>
      <c r="H119" s="38">
        <v>0</v>
      </c>
      <c r="I119" s="71" t="s">
        <v>32</v>
      </c>
      <c r="J119" s="38">
        <v>0</v>
      </c>
      <c r="K119" s="40"/>
      <c r="L119" s="38"/>
    </row>
    <row r="120" spans="2:12" x14ac:dyDescent="0.2">
      <c r="B120" s="63" t="s">
        <v>64</v>
      </c>
      <c r="C120" s="3" t="s">
        <v>99</v>
      </c>
      <c r="D120" s="38">
        <v>159</v>
      </c>
      <c r="E120" s="38">
        <v>158</v>
      </c>
      <c r="F120" s="38">
        <v>1</v>
      </c>
      <c r="G120" s="38">
        <v>78</v>
      </c>
      <c r="H120" s="38">
        <v>80</v>
      </c>
      <c r="I120" s="39">
        <v>0.98855884071086819</v>
      </c>
      <c r="J120" s="38">
        <v>79.08470725686945</v>
      </c>
      <c r="K120" s="40"/>
      <c r="L120" s="38" t="s">
        <v>100</v>
      </c>
    </row>
    <row r="121" spans="2:12" ht="12" customHeight="1" x14ac:dyDescent="0.2">
      <c r="B121" s="63" t="s">
        <v>101</v>
      </c>
      <c r="C121" s="38" t="s">
        <v>99</v>
      </c>
      <c r="D121" s="38">
        <v>6504</v>
      </c>
      <c r="E121" s="38">
        <v>6421</v>
      </c>
      <c r="F121" s="38">
        <v>83</v>
      </c>
      <c r="G121" s="38">
        <v>2725</v>
      </c>
      <c r="H121" s="38">
        <v>3696</v>
      </c>
      <c r="I121" s="39">
        <v>0.91939152946662039</v>
      </c>
      <c r="J121" s="38">
        <v>3398</v>
      </c>
      <c r="K121" s="40"/>
      <c r="L121" s="38"/>
    </row>
    <row r="122" spans="2:12" ht="11.4" x14ac:dyDescent="0.2">
      <c r="B122" s="63" t="s">
        <v>340</v>
      </c>
      <c r="C122" s="38"/>
      <c r="D122" s="38">
        <v>0</v>
      </c>
      <c r="E122" s="38">
        <v>0</v>
      </c>
      <c r="F122" s="38">
        <v>0</v>
      </c>
      <c r="G122" s="38">
        <v>0</v>
      </c>
      <c r="H122" s="38">
        <v>0</v>
      </c>
      <c r="I122" s="71" t="s">
        <v>32</v>
      </c>
      <c r="J122" s="38">
        <v>0</v>
      </c>
      <c r="K122" s="40"/>
      <c r="L122" s="38"/>
    </row>
    <row r="123" spans="2:12" ht="11.4" x14ac:dyDescent="0.2">
      <c r="B123" s="63" t="s">
        <v>341</v>
      </c>
      <c r="C123" s="38"/>
      <c r="D123" s="38">
        <v>0</v>
      </c>
      <c r="E123" s="38">
        <v>0</v>
      </c>
      <c r="F123" s="38">
        <v>0</v>
      </c>
      <c r="G123" s="38">
        <v>0</v>
      </c>
      <c r="H123" s="38">
        <v>0</v>
      </c>
      <c r="I123" s="71" t="s">
        <v>32</v>
      </c>
      <c r="J123" s="38">
        <v>0</v>
      </c>
      <c r="K123" s="40"/>
      <c r="L123" s="38"/>
    </row>
    <row r="124" spans="2:12" ht="12.3" customHeight="1" x14ac:dyDescent="0.2">
      <c r="B124" s="63" t="s">
        <v>102</v>
      </c>
      <c r="C124" s="38"/>
      <c r="D124" s="38">
        <v>394</v>
      </c>
      <c r="E124" s="38">
        <v>394</v>
      </c>
      <c r="F124" s="38">
        <v>0</v>
      </c>
      <c r="G124" s="38">
        <v>195</v>
      </c>
      <c r="H124" s="38">
        <v>199</v>
      </c>
      <c r="I124" s="39">
        <v>0.98855884071086819</v>
      </c>
      <c r="J124" s="38">
        <v>197</v>
      </c>
      <c r="K124" s="40"/>
      <c r="L124" s="38" t="s">
        <v>92</v>
      </c>
    </row>
    <row r="125" spans="2:12" ht="12.3" customHeight="1" x14ac:dyDescent="0.2">
      <c r="B125" s="63" t="s">
        <v>342</v>
      </c>
      <c r="C125" s="38"/>
      <c r="D125" s="38">
        <v>0</v>
      </c>
      <c r="E125" s="38">
        <v>0</v>
      </c>
      <c r="F125" s="38">
        <v>0</v>
      </c>
      <c r="G125" s="38">
        <v>0</v>
      </c>
      <c r="H125" s="38">
        <v>0</v>
      </c>
      <c r="I125" s="71" t="s">
        <v>32</v>
      </c>
      <c r="J125" s="38">
        <v>0</v>
      </c>
      <c r="K125" s="40"/>
      <c r="L125" s="38"/>
    </row>
    <row r="126" spans="2:12" ht="12.3" customHeight="1" x14ac:dyDescent="0.2">
      <c r="B126" s="63" t="s">
        <v>103</v>
      </c>
      <c r="C126" s="38"/>
      <c r="D126" s="38">
        <v>0</v>
      </c>
      <c r="E126" s="38">
        <v>0</v>
      </c>
      <c r="F126" s="38">
        <v>0</v>
      </c>
      <c r="G126" s="38">
        <v>0</v>
      </c>
      <c r="H126" s="38">
        <v>0</v>
      </c>
      <c r="I126" s="71" t="s">
        <v>32</v>
      </c>
      <c r="J126" s="38">
        <v>0</v>
      </c>
      <c r="K126" s="40"/>
      <c r="L126" s="38"/>
    </row>
    <row r="127" spans="2:12" x14ac:dyDescent="0.2">
      <c r="B127" s="63" t="s">
        <v>104</v>
      </c>
      <c r="C127" s="3"/>
      <c r="D127" s="38">
        <v>48</v>
      </c>
      <c r="E127" s="38">
        <v>48</v>
      </c>
      <c r="F127" s="38">
        <v>0</v>
      </c>
      <c r="G127" s="38">
        <v>24</v>
      </c>
      <c r="H127" s="38">
        <v>24</v>
      </c>
      <c r="I127" s="39">
        <v>0.98855884071086819</v>
      </c>
      <c r="J127" s="38">
        <v>24</v>
      </c>
      <c r="K127" s="40"/>
      <c r="L127" s="38" t="s">
        <v>100</v>
      </c>
    </row>
    <row r="128" spans="2:12" x14ac:dyDescent="0.2">
      <c r="B128" s="118" t="s">
        <v>105</v>
      </c>
      <c r="C128" s="3"/>
      <c r="D128" s="38">
        <v>34</v>
      </c>
      <c r="E128" s="38">
        <v>34</v>
      </c>
      <c r="F128" s="38">
        <v>0</v>
      </c>
      <c r="G128" s="38">
        <v>17</v>
      </c>
      <c r="H128" s="38">
        <v>17</v>
      </c>
      <c r="I128" s="39">
        <v>0.98855884071086819</v>
      </c>
      <c r="J128" s="38">
        <v>17</v>
      </c>
      <c r="K128" s="40"/>
      <c r="L128" s="38" t="s">
        <v>92</v>
      </c>
    </row>
    <row r="129" spans="2:16" hidden="1" x14ac:dyDescent="0.2">
      <c r="B129" s="118" t="s">
        <v>106</v>
      </c>
      <c r="C129" s="3"/>
      <c r="D129" s="38">
        <v>0</v>
      </c>
      <c r="E129" s="38">
        <v>0</v>
      </c>
      <c r="F129" s="38"/>
      <c r="G129" s="38"/>
      <c r="H129" s="38"/>
      <c r="I129" s="39"/>
      <c r="J129" s="38"/>
      <c r="K129" s="2"/>
    </row>
    <row r="130" spans="2:16" ht="12" customHeight="1" x14ac:dyDescent="0.2">
      <c r="B130" s="118" t="s">
        <v>107</v>
      </c>
      <c r="C130" s="3"/>
      <c r="D130" s="38">
        <v>135</v>
      </c>
      <c r="E130" s="38">
        <v>134</v>
      </c>
      <c r="F130" s="38">
        <v>1</v>
      </c>
      <c r="G130" s="38">
        <v>66</v>
      </c>
      <c r="H130" s="38">
        <v>68</v>
      </c>
      <c r="I130" s="39">
        <v>0.98855884071086819</v>
      </c>
      <c r="J130" s="38">
        <v>67</v>
      </c>
      <c r="K130" s="40"/>
      <c r="L130" s="38" t="s">
        <v>100</v>
      </c>
    </row>
    <row r="131" spans="2:16" ht="11.4" x14ac:dyDescent="0.2">
      <c r="B131" s="118" t="s">
        <v>343</v>
      </c>
      <c r="C131" s="3"/>
      <c r="D131" s="38">
        <v>0</v>
      </c>
      <c r="E131" s="38">
        <v>0</v>
      </c>
      <c r="F131" s="38">
        <v>0</v>
      </c>
      <c r="G131" s="38">
        <v>0</v>
      </c>
      <c r="H131" s="38">
        <v>0</v>
      </c>
      <c r="I131" s="71" t="s">
        <v>32</v>
      </c>
      <c r="J131" s="38">
        <v>0</v>
      </c>
      <c r="K131" s="40"/>
      <c r="L131" s="38"/>
    </row>
    <row r="132" spans="2:16" x14ac:dyDescent="0.2">
      <c r="B132" s="63" t="s">
        <v>108</v>
      </c>
      <c r="C132" s="3" t="s">
        <v>99</v>
      </c>
      <c r="D132" s="38">
        <v>634</v>
      </c>
      <c r="E132" s="38">
        <v>632</v>
      </c>
      <c r="F132" s="38">
        <v>2</v>
      </c>
      <c r="G132" s="38">
        <v>313</v>
      </c>
      <c r="H132" s="38">
        <v>319</v>
      </c>
      <c r="I132" s="39">
        <v>0.98855884071086819</v>
      </c>
      <c r="J132" s="38">
        <v>315</v>
      </c>
      <c r="K132" s="40"/>
      <c r="L132" s="38" t="s">
        <v>100</v>
      </c>
    </row>
    <row r="133" spans="2:16" hidden="1" x14ac:dyDescent="0.2">
      <c r="B133" s="63" t="s">
        <v>109</v>
      </c>
      <c r="C133" s="3"/>
      <c r="D133" s="38">
        <v>0</v>
      </c>
      <c r="E133" s="38">
        <v>0</v>
      </c>
      <c r="F133" s="38"/>
      <c r="G133" s="38"/>
      <c r="H133" s="38"/>
      <c r="I133" s="39"/>
      <c r="J133" s="38"/>
      <c r="K133" s="40"/>
      <c r="L133" s="38"/>
    </row>
    <row r="134" spans="2:16" x14ac:dyDescent="0.2">
      <c r="B134" s="63" t="s">
        <v>110</v>
      </c>
      <c r="C134" s="89"/>
      <c r="D134" s="38">
        <v>25986</v>
      </c>
      <c r="E134" s="38">
        <v>25871</v>
      </c>
      <c r="F134" s="38">
        <v>115</v>
      </c>
      <c r="G134" s="38">
        <v>13367</v>
      </c>
      <c r="H134" s="38">
        <v>12504</v>
      </c>
      <c r="I134" s="39">
        <v>0.99153847780190707</v>
      </c>
      <c r="J134" s="38">
        <v>12398</v>
      </c>
      <c r="K134" s="88"/>
      <c r="L134" s="89"/>
    </row>
    <row r="135" spans="2:16" x14ac:dyDescent="0.2">
      <c r="B135" s="63" t="s">
        <v>111</v>
      </c>
      <c r="C135" s="89" t="s">
        <v>112</v>
      </c>
      <c r="D135" s="38">
        <v>33008</v>
      </c>
      <c r="E135" s="38">
        <v>33008</v>
      </c>
      <c r="F135" s="38">
        <v>0</v>
      </c>
      <c r="G135" s="38">
        <v>13761</v>
      </c>
      <c r="H135" s="38">
        <v>19247</v>
      </c>
      <c r="I135" s="39">
        <v>0.98267008985879334</v>
      </c>
      <c r="J135" s="38">
        <v>18913</v>
      </c>
      <c r="K135" s="88"/>
      <c r="L135" s="89"/>
    </row>
    <row r="136" spans="2:16" ht="11.4" x14ac:dyDescent="0.2">
      <c r="B136" s="63" t="s">
        <v>344</v>
      </c>
      <c r="C136" s="89"/>
      <c r="D136" s="38">
        <v>0</v>
      </c>
      <c r="E136" s="38">
        <v>0</v>
      </c>
      <c r="F136" s="38">
        <v>0</v>
      </c>
      <c r="G136" s="38">
        <v>0</v>
      </c>
      <c r="H136" s="38">
        <v>0</v>
      </c>
      <c r="I136" s="71" t="s">
        <v>32</v>
      </c>
      <c r="J136" s="38">
        <v>0</v>
      </c>
      <c r="K136" s="88"/>
      <c r="L136" s="89"/>
    </row>
    <row r="137" spans="2:16" x14ac:dyDescent="0.2">
      <c r="B137" s="63" t="s">
        <v>113</v>
      </c>
      <c r="C137" s="64"/>
      <c r="D137" s="65">
        <v>0</v>
      </c>
      <c r="E137" s="65">
        <v>0</v>
      </c>
      <c r="F137" s="65">
        <v>0</v>
      </c>
      <c r="G137" s="65">
        <v>0</v>
      </c>
      <c r="H137" s="65">
        <v>0</v>
      </c>
      <c r="I137" s="119" t="s">
        <v>32</v>
      </c>
      <c r="J137" s="65">
        <v>0</v>
      </c>
      <c r="K137" s="51"/>
      <c r="L137" s="65"/>
    </row>
    <row r="138" spans="2:16" x14ac:dyDescent="0.2">
      <c r="B138" s="62" t="s">
        <v>22</v>
      </c>
      <c r="C138" s="84"/>
      <c r="D138" s="85">
        <v>75326</v>
      </c>
      <c r="E138" s="85">
        <v>75089</v>
      </c>
      <c r="F138" s="85">
        <v>237</v>
      </c>
      <c r="G138" s="85">
        <v>34210</v>
      </c>
      <c r="H138" s="85">
        <v>40879</v>
      </c>
      <c r="I138" s="95">
        <v>0.97906222528087461</v>
      </c>
      <c r="J138" s="85">
        <v>40023.084707256872</v>
      </c>
      <c r="K138" s="72"/>
      <c r="L138" s="84"/>
    </row>
    <row r="139" spans="2:16" x14ac:dyDescent="0.2">
      <c r="B139" s="62"/>
      <c r="C139" s="84"/>
      <c r="D139" s="85"/>
      <c r="E139" s="85"/>
      <c r="F139" s="85"/>
      <c r="G139" s="85"/>
      <c r="H139" s="85"/>
      <c r="I139" s="117"/>
      <c r="J139" s="85"/>
      <c r="K139" s="72"/>
      <c r="L139" s="84"/>
    </row>
    <row r="140" spans="2:16" x14ac:dyDescent="0.2">
      <c r="B140" s="57" t="s">
        <v>114</v>
      </c>
      <c r="C140" s="33"/>
      <c r="L140" s="33"/>
    </row>
    <row r="141" spans="2:16" hidden="1" x14ac:dyDescent="0.2">
      <c r="B141" s="86" t="s">
        <v>90</v>
      </c>
      <c r="C141" s="89"/>
      <c r="D141" s="38">
        <v>0</v>
      </c>
      <c r="E141" s="38">
        <v>0</v>
      </c>
      <c r="F141" s="38"/>
      <c r="G141" s="38"/>
      <c r="H141" s="38"/>
      <c r="I141" s="39"/>
      <c r="J141" s="38"/>
      <c r="K141" s="38"/>
      <c r="L141" s="38"/>
    </row>
    <row r="142" spans="2:16" ht="12.75" customHeight="1" x14ac:dyDescent="0.2">
      <c r="B142" s="77" t="s">
        <v>345</v>
      </c>
      <c r="C142" s="3"/>
      <c r="D142" s="38">
        <v>61.35</v>
      </c>
      <c r="E142" s="38">
        <v>61.35</v>
      </c>
      <c r="F142" s="38">
        <v>0</v>
      </c>
      <c r="G142" s="38">
        <v>22.35</v>
      </c>
      <c r="H142" s="38">
        <v>39</v>
      </c>
      <c r="I142" s="39">
        <v>0.98633144721827082</v>
      </c>
      <c r="J142" s="38">
        <v>38</v>
      </c>
      <c r="K142" s="38"/>
      <c r="L142" s="38" t="s">
        <v>115</v>
      </c>
    </row>
    <row r="143" spans="2:16" ht="12.3" customHeight="1" x14ac:dyDescent="0.2">
      <c r="B143" s="77" t="s">
        <v>116</v>
      </c>
      <c r="C143" s="3"/>
      <c r="D143" s="38">
        <v>0</v>
      </c>
      <c r="E143" s="38">
        <v>0</v>
      </c>
      <c r="F143" s="38">
        <v>0</v>
      </c>
      <c r="G143" s="38">
        <v>0</v>
      </c>
      <c r="H143" s="38">
        <v>0</v>
      </c>
      <c r="I143" s="71" t="s">
        <v>32</v>
      </c>
      <c r="J143" s="38">
        <v>0</v>
      </c>
      <c r="K143" s="38"/>
      <c r="L143" s="38"/>
      <c r="P143" s="86"/>
    </row>
    <row r="144" spans="2:16" ht="12.75" customHeight="1" x14ac:dyDescent="0.2">
      <c r="B144" s="77" t="s">
        <v>346</v>
      </c>
      <c r="C144" s="3"/>
      <c r="D144" s="38">
        <v>0</v>
      </c>
      <c r="E144" s="38">
        <v>0</v>
      </c>
      <c r="F144" s="38">
        <v>0</v>
      </c>
      <c r="G144" s="38">
        <v>0</v>
      </c>
      <c r="H144" s="38">
        <v>0</v>
      </c>
      <c r="I144" s="71" t="s">
        <v>32</v>
      </c>
      <c r="J144" s="38">
        <v>0</v>
      </c>
      <c r="K144" s="38"/>
      <c r="L144" s="38"/>
    </row>
    <row r="145" spans="2:12" ht="11.25" customHeight="1" x14ac:dyDescent="0.2">
      <c r="B145" s="101" t="s">
        <v>91</v>
      </c>
      <c r="C145" s="38" t="s">
        <v>117</v>
      </c>
      <c r="D145" s="38">
        <v>196190</v>
      </c>
      <c r="E145" s="38">
        <v>190363</v>
      </c>
      <c r="F145" s="38">
        <v>5827</v>
      </c>
      <c r="G145" s="38">
        <v>69824</v>
      </c>
      <c r="H145" s="38">
        <v>120539</v>
      </c>
      <c r="I145" s="39">
        <v>0.98648111332007948</v>
      </c>
      <c r="J145" s="38">
        <v>118909</v>
      </c>
      <c r="K145" s="38"/>
      <c r="L145" s="38"/>
    </row>
    <row r="146" spans="2:12" ht="11.25" customHeight="1" x14ac:dyDescent="0.2">
      <c r="B146" s="101" t="s">
        <v>347</v>
      </c>
      <c r="C146" s="38"/>
      <c r="D146" s="38">
        <v>0</v>
      </c>
      <c r="E146" s="38">
        <v>0</v>
      </c>
      <c r="F146" s="38">
        <v>0</v>
      </c>
      <c r="G146" s="38">
        <v>0</v>
      </c>
      <c r="H146" s="38">
        <v>0</v>
      </c>
      <c r="I146" s="71" t="s">
        <v>32</v>
      </c>
      <c r="J146" s="38">
        <v>0</v>
      </c>
      <c r="K146" s="38"/>
      <c r="L146" s="38"/>
    </row>
    <row r="147" spans="2:12" ht="11.4" x14ac:dyDescent="0.2">
      <c r="B147" s="101" t="s">
        <v>348</v>
      </c>
      <c r="C147" s="38"/>
      <c r="D147" s="38">
        <v>64</v>
      </c>
      <c r="E147" s="38">
        <v>62</v>
      </c>
      <c r="F147" s="38">
        <v>2</v>
      </c>
      <c r="G147" s="38">
        <v>23</v>
      </c>
      <c r="H147" s="38">
        <v>39</v>
      </c>
      <c r="I147" s="39">
        <v>0.98633144721827082</v>
      </c>
      <c r="J147" s="38">
        <v>38</v>
      </c>
      <c r="K147" s="38"/>
      <c r="L147" s="38" t="s">
        <v>118</v>
      </c>
    </row>
    <row r="148" spans="2:12" ht="12" customHeight="1" x14ac:dyDescent="0.2">
      <c r="B148" s="86" t="s">
        <v>119</v>
      </c>
      <c r="C148" s="3"/>
      <c r="D148" s="38">
        <v>0</v>
      </c>
      <c r="E148" s="38">
        <v>0</v>
      </c>
      <c r="F148" s="120">
        <v>0</v>
      </c>
      <c r="G148" s="120">
        <v>0</v>
      </c>
      <c r="H148" s="120">
        <v>0</v>
      </c>
      <c r="I148" s="71" t="s">
        <v>32</v>
      </c>
      <c r="J148" s="120">
        <v>0</v>
      </c>
      <c r="K148" s="38"/>
      <c r="L148" s="38"/>
    </row>
    <row r="149" spans="2:12" ht="12" hidden="1" customHeight="1" x14ac:dyDescent="0.2">
      <c r="B149" s="86" t="s">
        <v>120</v>
      </c>
      <c r="C149" s="3"/>
      <c r="D149" s="38">
        <v>0</v>
      </c>
      <c r="E149" s="38">
        <v>0</v>
      </c>
      <c r="F149" s="38"/>
      <c r="G149" s="38"/>
      <c r="H149" s="38"/>
      <c r="I149" s="39"/>
      <c r="J149" s="38"/>
      <c r="K149" s="38"/>
      <c r="L149" s="38"/>
    </row>
    <row r="150" spans="2:12" ht="12" hidden="1" customHeight="1" x14ac:dyDescent="0.2">
      <c r="B150" s="77" t="s">
        <v>121</v>
      </c>
      <c r="C150" s="3"/>
      <c r="D150" s="38">
        <v>0</v>
      </c>
      <c r="E150" s="38">
        <v>0</v>
      </c>
      <c r="F150" s="38"/>
      <c r="G150" s="38"/>
      <c r="H150" s="38"/>
      <c r="I150" s="39"/>
      <c r="J150" s="38"/>
      <c r="K150" s="38"/>
      <c r="L150" s="38"/>
    </row>
    <row r="151" spans="2:12" ht="12" customHeight="1" x14ac:dyDescent="0.2">
      <c r="B151" s="77" t="s">
        <v>349</v>
      </c>
      <c r="C151" s="3"/>
      <c r="D151" s="38">
        <v>0</v>
      </c>
      <c r="E151" s="38">
        <v>0</v>
      </c>
      <c r="F151" s="120">
        <v>0</v>
      </c>
      <c r="G151" s="120">
        <v>0</v>
      </c>
      <c r="H151" s="120">
        <v>0</v>
      </c>
      <c r="I151" s="71" t="s">
        <v>32</v>
      </c>
      <c r="J151" s="120">
        <v>0</v>
      </c>
      <c r="K151" s="38"/>
      <c r="L151" s="38"/>
    </row>
    <row r="152" spans="2:12" ht="12" customHeight="1" x14ac:dyDescent="0.2">
      <c r="B152" s="77" t="s">
        <v>350</v>
      </c>
      <c r="C152" s="3"/>
      <c r="D152" s="38">
        <v>0</v>
      </c>
      <c r="E152" s="38">
        <v>0</v>
      </c>
      <c r="F152" s="120">
        <v>0</v>
      </c>
      <c r="G152" s="120">
        <v>0</v>
      </c>
      <c r="H152" s="120">
        <v>0</v>
      </c>
      <c r="I152" s="71" t="s">
        <v>32</v>
      </c>
      <c r="J152" s="120">
        <v>0</v>
      </c>
      <c r="K152" s="38"/>
      <c r="L152" s="38"/>
    </row>
    <row r="153" spans="2:12" ht="12" hidden="1" customHeight="1" x14ac:dyDescent="0.2">
      <c r="B153" s="77" t="s">
        <v>351</v>
      </c>
      <c r="C153" s="3"/>
      <c r="D153" s="38">
        <v>0</v>
      </c>
      <c r="E153" s="38">
        <v>0</v>
      </c>
      <c r="F153" s="38"/>
      <c r="G153" s="38"/>
      <c r="H153" s="38"/>
      <c r="I153" s="39"/>
      <c r="J153" s="38"/>
      <c r="K153" s="38"/>
      <c r="L153" s="38"/>
    </row>
    <row r="154" spans="2:12" ht="12" customHeight="1" x14ac:dyDescent="0.2">
      <c r="B154" s="77" t="s">
        <v>352</v>
      </c>
      <c r="C154" s="3"/>
      <c r="D154" s="38">
        <v>0</v>
      </c>
      <c r="E154" s="38">
        <v>0</v>
      </c>
      <c r="F154" s="120">
        <v>0</v>
      </c>
      <c r="G154" s="120">
        <v>0</v>
      </c>
      <c r="H154" s="120">
        <v>0</v>
      </c>
      <c r="I154" s="71" t="s">
        <v>32</v>
      </c>
      <c r="J154" s="120">
        <v>0</v>
      </c>
      <c r="K154" s="38"/>
      <c r="L154" s="38"/>
    </row>
    <row r="155" spans="2:12" x14ac:dyDescent="0.2">
      <c r="B155" s="77" t="s">
        <v>101</v>
      </c>
      <c r="C155" s="3"/>
      <c r="D155" s="38">
        <v>200</v>
      </c>
      <c r="E155" s="38">
        <v>47</v>
      </c>
      <c r="F155" s="38">
        <v>153</v>
      </c>
      <c r="G155" s="38">
        <v>20</v>
      </c>
      <c r="H155" s="38">
        <v>27</v>
      </c>
      <c r="I155" s="39">
        <v>0.98633144721827082</v>
      </c>
      <c r="J155" s="38">
        <v>27</v>
      </c>
      <c r="K155" s="38"/>
      <c r="L155" s="38" t="s">
        <v>122</v>
      </c>
    </row>
    <row r="156" spans="2:12" ht="12.3" customHeight="1" x14ac:dyDescent="0.2">
      <c r="B156" s="101" t="s">
        <v>102</v>
      </c>
      <c r="C156" s="3"/>
      <c r="D156" s="38">
        <v>0</v>
      </c>
      <c r="E156" s="38">
        <v>0</v>
      </c>
      <c r="F156" s="38">
        <v>0</v>
      </c>
      <c r="G156" s="38">
        <v>0</v>
      </c>
      <c r="H156" s="38">
        <v>0</v>
      </c>
      <c r="I156" s="71" t="s">
        <v>32</v>
      </c>
      <c r="J156" s="38">
        <v>0</v>
      </c>
      <c r="K156" s="38"/>
      <c r="L156" s="38"/>
    </row>
    <row r="157" spans="2:12" ht="12.3" hidden="1" customHeight="1" x14ac:dyDescent="0.2">
      <c r="B157" s="101" t="s">
        <v>123</v>
      </c>
      <c r="C157" s="3"/>
      <c r="D157" s="38">
        <v>0</v>
      </c>
      <c r="E157" s="38">
        <v>0</v>
      </c>
      <c r="F157" s="38"/>
      <c r="G157" s="38"/>
      <c r="H157" s="38"/>
      <c r="I157" s="39"/>
      <c r="J157" s="38"/>
      <c r="K157" s="38"/>
      <c r="L157" s="38"/>
    </row>
    <row r="158" spans="2:12" ht="12" customHeight="1" x14ac:dyDescent="0.2">
      <c r="B158" s="101" t="s">
        <v>353</v>
      </c>
      <c r="C158" s="3"/>
      <c r="D158" s="38">
        <v>5</v>
      </c>
      <c r="E158" s="38">
        <v>5</v>
      </c>
      <c r="F158" s="38">
        <v>0</v>
      </c>
      <c r="G158" s="38">
        <v>2</v>
      </c>
      <c r="H158" s="38">
        <v>3</v>
      </c>
      <c r="I158" s="39">
        <v>0.98633144721827082</v>
      </c>
      <c r="J158" s="38">
        <v>3</v>
      </c>
      <c r="K158" s="38"/>
      <c r="L158" s="38" t="s">
        <v>118</v>
      </c>
    </row>
    <row r="159" spans="2:12" ht="12" hidden="1" customHeight="1" x14ac:dyDescent="0.2">
      <c r="B159" s="86" t="s">
        <v>124</v>
      </c>
      <c r="C159" s="3"/>
      <c r="D159" s="38">
        <v>0</v>
      </c>
      <c r="E159" s="38">
        <v>0</v>
      </c>
      <c r="F159" s="38"/>
      <c r="G159" s="38"/>
      <c r="H159" s="38"/>
      <c r="I159" s="39"/>
      <c r="J159" s="38"/>
      <c r="K159" s="38"/>
      <c r="L159" s="38"/>
    </row>
    <row r="160" spans="2:12" ht="12" customHeight="1" x14ac:dyDescent="0.2">
      <c r="B160" s="86" t="s">
        <v>354</v>
      </c>
      <c r="C160" s="3"/>
      <c r="D160" s="38">
        <v>0</v>
      </c>
      <c r="E160" s="38">
        <v>0</v>
      </c>
      <c r="F160" s="120">
        <v>0</v>
      </c>
      <c r="G160" s="120">
        <v>0</v>
      </c>
      <c r="H160" s="120">
        <v>0</v>
      </c>
      <c r="I160" s="71" t="s">
        <v>32</v>
      </c>
      <c r="J160" s="120">
        <v>0</v>
      </c>
      <c r="K160" s="38"/>
      <c r="L160" s="38"/>
    </row>
    <row r="161" spans="2:20" x14ac:dyDescent="0.2">
      <c r="B161" s="77" t="s">
        <v>125</v>
      </c>
      <c r="C161" s="89" t="s">
        <v>126</v>
      </c>
      <c r="D161" s="38">
        <v>9292</v>
      </c>
      <c r="E161" s="38">
        <v>8468</v>
      </c>
      <c r="F161" s="38">
        <v>824</v>
      </c>
      <c r="G161" s="38">
        <v>3631</v>
      </c>
      <c r="H161" s="38">
        <v>4837</v>
      </c>
      <c r="I161" s="39">
        <v>0.9280261723009815</v>
      </c>
      <c r="J161" s="38">
        <v>4466</v>
      </c>
      <c r="K161" s="38"/>
      <c r="L161" s="38"/>
    </row>
    <row r="162" spans="2:20" ht="11.4" x14ac:dyDescent="0.2">
      <c r="B162" s="77" t="s">
        <v>355</v>
      </c>
      <c r="C162" s="89"/>
      <c r="D162" s="38">
        <v>0</v>
      </c>
      <c r="E162" s="38">
        <v>0</v>
      </c>
      <c r="F162" s="120">
        <v>0</v>
      </c>
      <c r="G162" s="120">
        <v>0</v>
      </c>
      <c r="H162" s="120">
        <v>0</v>
      </c>
      <c r="I162" s="71" t="s">
        <v>32</v>
      </c>
      <c r="J162" s="120">
        <v>0</v>
      </c>
      <c r="K162" s="38"/>
      <c r="L162" s="38"/>
    </row>
    <row r="163" spans="2:20" x14ac:dyDescent="0.2">
      <c r="B163" s="77" t="s">
        <v>127</v>
      </c>
      <c r="C163" s="3"/>
      <c r="D163" s="38">
        <v>107</v>
      </c>
      <c r="E163" s="38">
        <v>41</v>
      </c>
      <c r="F163" s="38">
        <v>66</v>
      </c>
      <c r="G163" s="38">
        <v>33</v>
      </c>
      <c r="H163" s="38">
        <v>8</v>
      </c>
      <c r="I163" s="39">
        <v>0.98633144721827082</v>
      </c>
      <c r="J163" s="38">
        <v>8</v>
      </c>
      <c r="K163" s="38"/>
      <c r="L163" s="38" t="s">
        <v>122</v>
      </c>
    </row>
    <row r="164" spans="2:20" hidden="1" x14ac:dyDescent="0.2">
      <c r="B164" s="77" t="s">
        <v>128</v>
      </c>
      <c r="C164" s="3"/>
      <c r="D164" s="38">
        <v>0</v>
      </c>
      <c r="E164" s="38">
        <v>0</v>
      </c>
      <c r="F164" s="38"/>
      <c r="G164" s="38"/>
      <c r="H164" s="38"/>
      <c r="I164" s="39"/>
      <c r="J164" s="38"/>
      <c r="K164" s="38"/>
      <c r="L164" s="38"/>
    </row>
    <row r="165" spans="2:20" ht="11.4" x14ac:dyDescent="0.2">
      <c r="B165" s="77" t="s">
        <v>356</v>
      </c>
      <c r="C165" s="3"/>
      <c r="D165" s="38">
        <v>0</v>
      </c>
      <c r="E165" s="38">
        <v>0</v>
      </c>
      <c r="F165" s="120">
        <v>0</v>
      </c>
      <c r="G165" s="120">
        <v>0</v>
      </c>
      <c r="H165" s="120">
        <v>0</v>
      </c>
      <c r="I165" s="71" t="s">
        <v>32</v>
      </c>
      <c r="J165" s="120">
        <v>0</v>
      </c>
      <c r="K165" s="38"/>
      <c r="L165" s="38"/>
    </row>
    <row r="166" spans="2:20" x14ac:dyDescent="0.2">
      <c r="B166" s="77" t="s">
        <v>129</v>
      </c>
      <c r="C166" s="89"/>
      <c r="D166" s="38">
        <v>1.77</v>
      </c>
      <c r="E166" s="38">
        <v>0.77</v>
      </c>
      <c r="F166" s="38">
        <v>1</v>
      </c>
      <c r="G166" s="38">
        <v>0.56999999999999995</v>
      </c>
      <c r="H166" s="38">
        <v>0.2</v>
      </c>
      <c r="I166" s="39">
        <v>0.98633144721827082</v>
      </c>
      <c r="J166" s="38">
        <v>0</v>
      </c>
      <c r="K166" s="38"/>
      <c r="L166" s="38" t="s">
        <v>130</v>
      </c>
    </row>
    <row r="167" spans="2:20" ht="12.75" customHeight="1" x14ac:dyDescent="0.2">
      <c r="B167" s="101" t="s">
        <v>357</v>
      </c>
      <c r="C167" s="3"/>
      <c r="D167" s="38">
        <v>0</v>
      </c>
      <c r="E167" s="38">
        <v>0</v>
      </c>
      <c r="F167" s="120">
        <v>0</v>
      </c>
      <c r="G167" s="120">
        <v>0</v>
      </c>
      <c r="H167" s="120">
        <v>0</v>
      </c>
      <c r="I167" s="71" t="s">
        <v>32</v>
      </c>
      <c r="J167" s="120">
        <v>0</v>
      </c>
      <c r="K167" s="38"/>
      <c r="L167" s="38"/>
    </row>
    <row r="168" spans="2:20" ht="12.75" customHeight="1" x14ac:dyDescent="0.2">
      <c r="B168" s="77" t="s">
        <v>358</v>
      </c>
      <c r="C168" s="3"/>
      <c r="D168" s="38">
        <v>2216</v>
      </c>
      <c r="E168" s="38">
        <v>2002</v>
      </c>
      <c r="F168" s="38">
        <v>214</v>
      </c>
      <c r="G168" s="38">
        <v>1217</v>
      </c>
      <c r="H168" s="38">
        <v>785</v>
      </c>
      <c r="I168" s="39">
        <v>0.93270725690080525</v>
      </c>
      <c r="J168" s="38">
        <v>732</v>
      </c>
      <c r="K168" s="38"/>
      <c r="L168" s="38"/>
    </row>
    <row r="169" spans="2:20" ht="12.75" customHeight="1" x14ac:dyDescent="0.2">
      <c r="B169" s="77" t="s">
        <v>359</v>
      </c>
      <c r="C169" s="3"/>
      <c r="D169" s="38">
        <v>0</v>
      </c>
      <c r="E169" s="38">
        <v>0</v>
      </c>
      <c r="F169" s="120">
        <v>0</v>
      </c>
      <c r="G169" s="120">
        <v>0</v>
      </c>
      <c r="H169" s="120">
        <v>0</v>
      </c>
      <c r="I169" s="71" t="s">
        <v>32</v>
      </c>
      <c r="J169" s="120">
        <v>0</v>
      </c>
      <c r="K169" s="38"/>
      <c r="L169" s="38"/>
    </row>
    <row r="170" spans="2:20" ht="12.3" customHeight="1" x14ac:dyDescent="0.2">
      <c r="B170" s="77" t="s">
        <v>360</v>
      </c>
      <c r="C170" s="89"/>
      <c r="D170" s="38">
        <v>0</v>
      </c>
      <c r="E170" s="38">
        <v>0</v>
      </c>
      <c r="F170" s="120">
        <v>0</v>
      </c>
      <c r="G170" s="120">
        <v>0</v>
      </c>
      <c r="H170" s="120">
        <v>0</v>
      </c>
      <c r="I170" s="71" t="s">
        <v>32</v>
      </c>
      <c r="J170" s="120">
        <v>0</v>
      </c>
      <c r="K170" s="38"/>
      <c r="L170" s="38"/>
    </row>
    <row r="171" spans="2:20" ht="12.3" customHeight="1" x14ac:dyDescent="0.2">
      <c r="B171" s="77" t="s">
        <v>105</v>
      </c>
      <c r="C171" s="3"/>
      <c r="D171" s="38">
        <v>0</v>
      </c>
      <c r="E171" s="38">
        <v>0</v>
      </c>
      <c r="F171" s="38">
        <v>0</v>
      </c>
      <c r="G171" s="38">
        <v>0</v>
      </c>
      <c r="H171" s="38">
        <v>0</v>
      </c>
      <c r="I171" s="71" t="s">
        <v>32</v>
      </c>
      <c r="J171" s="38">
        <v>0</v>
      </c>
      <c r="K171" s="38"/>
      <c r="L171" s="38"/>
    </row>
    <row r="172" spans="2:20" ht="12" customHeight="1" x14ac:dyDescent="0.2">
      <c r="B172" s="101" t="s">
        <v>361</v>
      </c>
      <c r="C172" s="3"/>
      <c r="D172" s="38">
        <v>0</v>
      </c>
      <c r="E172" s="38">
        <v>0</v>
      </c>
      <c r="F172" s="120">
        <v>0</v>
      </c>
      <c r="G172" s="120">
        <v>0</v>
      </c>
      <c r="H172" s="120">
        <v>0</v>
      </c>
      <c r="I172" s="71" t="s">
        <v>32</v>
      </c>
      <c r="J172" s="120">
        <v>0</v>
      </c>
      <c r="K172" s="38"/>
      <c r="L172" s="38"/>
    </row>
    <row r="173" spans="2:20" ht="12" customHeight="1" x14ac:dyDescent="0.2">
      <c r="B173" s="77" t="s">
        <v>131</v>
      </c>
      <c r="C173" s="3"/>
      <c r="D173" s="38">
        <v>0</v>
      </c>
      <c r="E173" s="38">
        <v>0</v>
      </c>
      <c r="F173" s="120">
        <v>0</v>
      </c>
      <c r="G173" s="120">
        <v>0</v>
      </c>
      <c r="H173" s="120">
        <v>0</v>
      </c>
      <c r="I173" s="71" t="s">
        <v>32</v>
      </c>
      <c r="J173" s="120">
        <v>0</v>
      </c>
      <c r="K173" s="38"/>
      <c r="L173" s="38"/>
      <c r="T173" s="106"/>
    </row>
    <row r="174" spans="2:20" ht="12" hidden="1" customHeight="1" x14ac:dyDescent="0.2">
      <c r="B174" s="77" t="s">
        <v>132</v>
      </c>
      <c r="C174" s="3"/>
      <c r="D174" s="38">
        <v>0</v>
      </c>
      <c r="E174" s="38">
        <v>0</v>
      </c>
      <c r="F174" s="38"/>
      <c r="G174" s="38"/>
      <c r="H174" s="38"/>
      <c r="I174" s="39"/>
      <c r="J174" s="38"/>
      <c r="K174" s="38"/>
      <c r="L174" s="38"/>
    </row>
    <row r="175" spans="2:20" ht="12" customHeight="1" x14ac:dyDescent="0.2">
      <c r="B175" s="101" t="s">
        <v>108</v>
      </c>
      <c r="C175" s="3"/>
      <c r="D175" s="38">
        <v>0</v>
      </c>
      <c r="E175" s="38">
        <v>0</v>
      </c>
      <c r="F175" s="120">
        <v>0</v>
      </c>
      <c r="G175" s="120">
        <v>0</v>
      </c>
      <c r="H175" s="120">
        <v>0</v>
      </c>
      <c r="I175" s="71" t="s">
        <v>32</v>
      </c>
      <c r="J175" s="120">
        <v>0</v>
      </c>
      <c r="K175" s="38"/>
      <c r="L175" s="38"/>
    </row>
    <row r="176" spans="2:20" ht="12" hidden="1" customHeight="1" x14ac:dyDescent="0.2">
      <c r="B176" s="101" t="s">
        <v>133</v>
      </c>
      <c r="C176" s="3"/>
      <c r="D176" s="38">
        <v>0</v>
      </c>
      <c r="E176" s="38">
        <v>0</v>
      </c>
      <c r="F176" s="38"/>
      <c r="G176" s="38"/>
      <c r="H176" s="38"/>
      <c r="I176" s="39"/>
      <c r="J176" s="38"/>
      <c r="K176" s="38"/>
      <c r="L176" s="38"/>
    </row>
    <row r="177" spans="2:12" ht="12" hidden="1" customHeight="1" x14ac:dyDescent="0.2">
      <c r="B177" s="101" t="s">
        <v>109</v>
      </c>
      <c r="C177" s="3"/>
      <c r="D177" s="38">
        <v>0</v>
      </c>
      <c r="E177" s="38">
        <v>0</v>
      </c>
      <c r="F177" s="38"/>
      <c r="G177" s="38"/>
      <c r="H177" s="38"/>
      <c r="I177" s="39"/>
      <c r="J177" s="38"/>
      <c r="K177" s="38"/>
      <c r="L177" s="38"/>
    </row>
    <row r="178" spans="2:12" ht="12" customHeight="1" x14ac:dyDescent="0.2">
      <c r="B178" s="77" t="s">
        <v>134</v>
      </c>
      <c r="C178" s="3"/>
      <c r="D178" s="38">
        <v>3.1</v>
      </c>
      <c r="E178" s="38">
        <v>3.1</v>
      </c>
      <c r="F178" s="38">
        <v>0</v>
      </c>
      <c r="G178" s="38">
        <v>1.1000000000000001</v>
      </c>
      <c r="H178" s="38">
        <v>2</v>
      </c>
      <c r="I178" s="39">
        <v>0.98633144721827082</v>
      </c>
      <c r="J178" s="38">
        <v>1.97</v>
      </c>
      <c r="K178" s="38"/>
      <c r="L178" s="38" t="s">
        <v>115</v>
      </c>
    </row>
    <row r="179" spans="2:12" ht="12" customHeight="1" x14ac:dyDescent="0.2">
      <c r="B179" s="77" t="s">
        <v>110</v>
      </c>
      <c r="C179" s="89"/>
      <c r="D179" s="38">
        <v>44</v>
      </c>
      <c r="E179" s="38">
        <v>44</v>
      </c>
      <c r="F179" s="38">
        <v>0</v>
      </c>
      <c r="G179" s="38">
        <v>16</v>
      </c>
      <c r="H179" s="38">
        <v>28</v>
      </c>
      <c r="I179" s="39">
        <v>0.98633144721827082</v>
      </c>
      <c r="J179" s="38">
        <v>28</v>
      </c>
      <c r="K179" s="38"/>
      <c r="L179" s="38" t="s">
        <v>115</v>
      </c>
    </row>
    <row r="180" spans="2:12" x14ac:dyDescent="0.2">
      <c r="B180" s="77" t="s">
        <v>111</v>
      </c>
      <c r="C180" s="89"/>
      <c r="D180" s="38">
        <v>0</v>
      </c>
      <c r="E180" s="38">
        <v>0</v>
      </c>
      <c r="F180" s="120">
        <v>0</v>
      </c>
      <c r="G180" s="120">
        <v>0</v>
      </c>
      <c r="H180" s="120">
        <v>0</v>
      </c>
      <c r="I180" s="71" t="s">
        <v>32</v>
      </c>
      <c r="J180" s="120">
        <v>0</v>
      </c>
      <c r="K180" s="38"/>
      <c r="L180" s="38"/>
    </row>
    <row r="181" spans="2:12" hidden="1" x14ac:dyDescent="0.2">
      <c r="B181" s="77" t="s">
        <v>135</v>
      </c>
      <c r="C181" s="89"/>
      <c r="D181" s="38">
        <v>0</v>
      </c>
      <c r="E181" s="38">
        <v>0</v>
      </c>
      <c r="F181" s="38"/>
      <c r="G181" s="38"/>
      <c r="H181" s="38"/>
      <c r="I181" s="39"/>
      <c r="J181" s="38"/>
      <c r="K181" s="38"/>
      <c r="L181" s="38"/>
    </row>
    <row r="182" spans="2:12" ht="12" customHeight="1" x14ac:dyDescent="0.2">
      <c r="B182" s="63" t="s">
        <v>136</v>
      </c>
      <c r="C182" s="3"/>
      <c r="D182" s="38">
        <v>14</v>
      </c>
      <c r="E182" s="38">
        <v>14</v>
      </c>
      <c r="F182" s="38">
        <v>0</v>
      </c>
      <c r="G182" s="38">
        <v>5</v>
      </c>
      <c r="H182" s="38">
        <v>9</v>
      </c>
      <c r="I182" s="39">
        <v>0.98633144721827082</v>
      </c>
      <c r="J182" s="38">
        <v>9</v>
      </c>
      <c r="K182" s="38"/>
      <c r="L182" s="38" t="s">
        <v>118</v>
      </c>
    </row>
    <row r="183" spans="2:12" ht="12" hidden="1" customHeight="1" x14ac:dyDescent="0.2">
      <c r="B183" s="3" t="s">
        <v>137</v>
      </c>
      <c r="C183" s="3"/>
      <c r="D183" s="38">
        <v>0</v>
      </c>
      <c r="E183" s="38">
        <v>0</v>
      </c>
      <c r="F183" s="38"/>
      <c r="G183" s="38"/>
      <c r="H183" s="38"/>
      <c r="I183" s="39"/>
      <c r="J183" s="38"/>
      <c r="K183" s="38"/>
      <c r="L183" s="38"/>
    </row>
    <row r="184" spans="2:12" ht="12" customHeight="1" x14ac:dyDescent="0.2">
      <c r="B184" s="86" t="s">
        <v>362</v>
      </c>
      <c r="C184" s="3"/>
      <c r="D184" s="38">
        <v>0</v>
      </c>
      <c r="E184" s="38">
        <v>0</v>
      </c>
      <c r="F184" s="120">
        <v>0</v>
      </c>
      <c r="G184" s="120">
        <v>0</v>
      </c>
      <c r="H184" s="120">
        <v>0</v>
      </c>
      <c r="I184" s="71" t="s">
        <v>32</v>
      </c>
      <c r="J184" s="120">
        <v>0</v>
      </c>
      <c r="K184" s="38"/>
      <c r="L184" s="38"/>
    </row>
    <row r="185" spans="2:12" ht="12" customHeight="1" x14ac:dyDescent="0.2">
      <c r="B185" s="77" t="s">
        <v>363</v>
      </c>
      <c r="C185" s="3"/>
      <c r="D185" s="38">
        <v>0</v>
      </c>
      <c r="E185" s="38">
        <v>0</v>
      </c>
      <c r="F185" s="120">
        <v>0</v>
      </c>
      <c r="G185" s="120">
        <v>0</v>
      </c>
      <c r="H185" s="120">
        <v>0</v>
      </c>
      <c r="I185" s="71" t="s">
        <v>32</v>
      </c>
      <c r="J185" s="120">
        <v>0</v>
      </c>
      <c r="K185" s="38"/>
      <c r="L185" s="38"/>
    </row>
    <row r="186" spans="2:12" x14ac:dyDescent="0.2">
      <c r="B186" s="77" t="s">
        <v>138</v>
      </c>
      <c r="C186" s="11"/>
      <c r="D186" s="38">
        <v>0</v>
      </c>
      <c r="E186" s="38">
        <v>0</v>
      </c>
      <c r="F186" s="121">
        <v>0</v>
      </c>
      <c r="G186" s="121">
        <v>0</v>
      </c>
      <c r="H186" s="121">
        <v>0</v>
      </c>
      <c r="I186" s="122" t="s">
        <v>32</v>
      </c>
      <c r="J186" s="121">
        <v>0</v>
      </c>
      <c r="K186" s="91"/>
      <c r="L186" s="91"/>
    </row>
    <row r="187" spans="2:12" hidden="1" x14ac:dyDescent="0.2">
      <c r="B187" s="123" t="s">
        <v>139</v>
      </c>
      <c r="C187" s="11"/>
      <c r="D187" s="38">
        <v>0</v>
      </c>
      <c r="E187" s="38">
        <v>0</v>
      </c>
      <c r="F187" s="91"/>
      <c r="G187" s="91"/>
      <c r="H187" s="91"/>
      <c r="I187" s="92"/>
      <c r="J187" s="91"/>
      <c r="K187" s="91"/>
      <c r="L187" s="91"/>
    </row>
    <row r="188" spans="2:12" ht="12" customHeight="1" x14ac:dyDescent="0.2">
      <c r="B188" s="77" t="s">
        <v>140</v>
      </c>
      <c r="C188" s="90"/>
      <c r="D188" s="38">
        <v>0</v>
      </c>
      <c r="E188" s="38">
        <v>0</v>
      </c>
      <c r="F188" s="121">
        <v>0</v>
      </c>
      <c r="G188" s="121">
        <v>0</v>
      </c>
      <c r="H188" s="121">
        <v>0</v>
      </c>
      <c r="I188" s="122" t="s">
        <v>32</v>
      </c>
      <c r="J188" s="121">
        <v>0</v>
      </c>
      <c r="K188" s="91"/>
      <c r="L188" s="91"/>
    </row>
    <row r="189" spans="2:12" ht="11.4" x14ac:dyDescent="0.2">
      <c r="B189" s="77" t="s">
        <v>364</v>
      </c>
      <c r="C189" s="11"/>
      <c r="D189" s="38">
        <v>0</v>
      </c>
      <c r="E189" s="38">
        <v>0</v>
      </c>
      <c r="F189" s="121">
        <v>0</v>
      </c>
      <c r="G189" s="121">
        <v>0</v>
      </c>
      <c r="H189" s="121">
        <v>0</v>
      </c>
      <c r="I189" s="122" t="s">
        <v>32</v>
      </c>
      <c r="J189" s="121">
        <v>0</v>
      </c>
      <c r="K189" s="91"/>
      <c r="L189" s="91"/>
    </row>
    <row r="190" spans="2:12" x14ac:dyDescent="0.2">
      <c r="B190" s="62" t="s">
        <v>22</v>
      </c>
      <c r="C190" s="53"/>
      <c r="D190" s="54">
        <v>208198.22</v>
      </c>
      <c r="E190" s="54">
        <v>201111.22</v>
      </c>
      <c r="F190" s="54">
        <v>7087</v>
      </c>
      <c r="G190" s="54">
        <v>74795.020000000019</v>
      </c>
      <c r="H190" s="54">
        <v>126316.2</v>
      </c>
      <c r="I190" s="95">
        <v>0.98391629820605075</v>
      </c>
      <c r="J190" s="54">
        <v>124259.97</v>
      </c>
      <c r="K190" s="56"/>
      <c r="L190" s="53"/>
    </row>
    <row r="191" spans="2:12" x14ac:dyDescent="0.2">
      <c r="B191" s="77"/>
      <c r="C191" s="33"/>
      <c r="L191" s="33"/>
    </row>
    <row r="192" spans="2:12" ht="4.05" customHeight="1" x14ac:dyDescent="0.2">
      <c r="B192" s="72"/>
      <c r="C192" s="78"/>
      <c r="D192" s="79"/>
      <c r="E192" s="79"/>
      <c r="F192" s="79"/>
      <c r="G192" s="79"/>
      <c r="H192" s="79"/>
      <c r="I192" s="80"/>
      <c r="J192" s="79"/>
      <c r="K192" s="81"/>
      <c r="L192" s="82"/>
    </row>
    <row r="193" spans="1:12" x14ac:dyDescent="0.2">
      <c r="B193" s="83" t="s">
        <v>41</v>
      </c>
      <c r="C193" s="84"/>
      <c r="D193" s="85">
        <v>283524.21999999997</v>
      </c>
      <c r="E193" s="85">
        <v>276200.21999999997</v>
      </c>
      <c r="F193" s="85">
        <v>7324</v>
      </c>
      <c r="G193" s="85">
        <v>109005.02000000002</v>
      </c>
      <c r="H193" s="85">
        <v>167195.20000000001</v>
      </c>
      <c r="I193" s="117">
        <v>0.98272930646285561</v>
      </c>
      <c r="J193" s="85">
        <v>164283.05470725687</v>
      </c>
      <c r="K193" s="72"/>
      <c r="L193" s="84"/>
    </row>
    <row r="194" spans="1:12" ht="11.25" customHeight="1" x14ac:dyDescent="0.2">
      <c r="B194" s="62"/>
      <c r="C194" s="33"/>
      <c r="L194" s="33"/>
    </row>
    <row r="195" spans="1:12" x14ac:dyDescent="0.2">
      <c r="A195" s="32" t="s">
        <v>141</v>
      </c>
      <c r="C195" s="33"/>
      <c r="L195" s="33"/>
    </row>
    <row r="196" spans="1:12" x14ac:dyDescent="0.2">
      <c r="B196" s="32" t="s">
        <v>142</v>
      </c>
      <c r="C196" s="33"/>
      <c r="L196" s="33"/>
    </row>
    <row r="197" spans="1:12" ht="11.25" customHeight="1" x14ac:dyDescent="0.2">
      <c r="B197" s="124" t="s">
        <v>143</v>
      </c>
      <c r="C197" s="3" t="s">
        <v>144</v>
      </c>
      <c r="D197" s="38">
        <v>6597</v>
      </c>
      <c r="E197" s="38">
        <v>6537</v>
      </c>
      <c r="F197" s="38">
        <v>60</v>
      </c>
      <c r="G197" s="38">
        <v>2776</v>
      </c>
      <c r="H197" s="38">
        <v>3761</v>
      </c>
      <c r="I197" s="39">
        <v>0.98175009110312883</v>
      </c>
      <c r="J197" s="38">
        <v>3692</v>
      </c>
      <c r="K197" s="40"/>
      <c r="L197" s="38"/>
    </row>
    <row r="198" spans="1:12" x14ac:dyDescent="0.2">
      <c r="B198" s="63" t="s">
        <v>145</v>
      </c>
      <c r="C198" s="11" t="s">
        <v>144</v>
      </c>
      <c r="D198" s="38">
        <v>475</v>
      </c>
      <c r="E198" s="38">
        <v>475</v>
      </c>
      <c r="F198" s="91">
        <v>0</v>
      </c>
      <c r="G198" s="91">
        <v>187</v>
      </c>
      <c r="H198" s="91">
        <v>288</v>
      </c>
      <c r="I198" s="92">
        <v>0.9375</v>
      </c>
      <c r="J198" s="91">
        <v>270</v>
      </c>
      <c r="K198" s="48"/>
      <c r="L198" s="91"/>
    </row>
    <row r="199" spans="1:12" hidden="1" x14ac:dyDescent="0.2">
      <c r="B199" s="118" t="s">
        <v>146</v>
      </c>
      <c r="C199" s="33"/>
      <c r="L199" s="33"/>
    </row>
    <row r="200" spans="1:12" hidden="1" x14ac:dyDescent="0.2">
      <c r="B200" s="125" t="s">
        <v>147</v>
      </c>
      <c r="C200" s="33"/>
      <c r="L200" s="33"/>
    </row>
    <row r="201" spans="1:12" hidden="1" x14ac:dyDescent="0.2">
      <c r="B201" s="126" t="s">
        <v>148</v>
      </c>
      <c r="C201" s="33"/>
      <c r="L201" s="33"/>
    </row>
    <row r="202" spans="1:12" hidden="1" x14ac:dyDescent="0.2">
      <c r="B202" s="113" t="s">
        <v>149</v>
      </c>
      <c r="C202" s="33"/>
      <c r="L202" s="33"/>
    </row>
    <row r="203" spans="1:12" hidden="1" x14ac:dyDescent="0.2">
      <c r="B203" s="63" t="s">
        <v>150</v>
      </c>
      <c r="C203" s="33"/>
      <c r="L203" s="33"/>
    </row>
    <row r="204" spans="1:12" hidden="1" x14ac:dyDescent="0.2">
      <c r="B204" s="63" t="s">
        <v>151</v>
      </c>
      <c r="C204" s="33"/>
      <c r="L204" s="33"/>
    </row>
    <row r="205" spans="1:12" x14ac:dyDescent="0.2">
      <c r="B205" s="62" t="s">
        <v>22</v>
      </c>
      <c r="C205" s="127"/>
      <c r="D205" s="128">
        <v>7072</v>
      </c>
      <c r="E205" s="128">
        <v>7012</v>
      </c>
      <c r="F205" s="128">
        <v>60</v>
      </c>
      <c r="G205" s="128">
        <v>2963</v>
      </c>
      <c r="H205" s="128">
        <v>4049</v>
      </c>
      <c r="I205" s="95">
        <v>0.97851321313904671</v>
      </c>
      <c r="J205" s="128">
        <v>3962</v>
      </c>
      <c r="K205" s="129"/>
      <c r="L205" s="127"/>
    </row>
    <row r="206" spans="1:12" x14ac:dyDescent="0.2">
      <c r="C206" s="33"/>
      <c r="L206" s="33"/>
    </row>
    <row r="207" spans="1:12" x14ac:dyDescent="0.2">
      <c r="B207" s="76" t="s">
        <v>152</v>
      </c>
      <c r="C207" s="33"/>
      <c r="L207" s="33"/>
    </row>
    <row r="208" spans="1:12" x14ac:dyDescent="0.2">
      <c r="B208" s="63" t="s">
        <v>153</v>
      </c>
      <c r="C208" s="3"/>
      <c r="D208" s="38">
        <v>3046</v>
      </c>
      <c r="E208" s="38">
        <v>3046</v>
      </c>
      <c r="F208" s="38">
        <v>0</v>
      </c>
      <c r="G208" s="38">
        <v>1665</v>
      </c>
      <c r="H208" s="38">
        <v>1381</v>
      </c>
      <c r="I208" s="39">
        <v>0.98365624162901066</v>
      </c>
      <c r="J208" s="38">
        <v>1358</v>
      </c>
      <c r="K208" s="40"/>
      <c r="L208" s="38" t="s">
        <v>154</v>
      </c>
    </row>
    <row r="209" spans="1:12" x14ac:dyDescent="0.2">
      <c r="B209" s="118" t="s">
        <v>155</v>
      </c>
      <c r="C209" s="3"/>
      <c r="D209" s="38">
        <v>1267</v>
      </c>
      <c r="E209" s="38">
        <v>1267</v>
      </c>
      <c r="F209" s="38">
        <v>0</v>
      </c>
      <c r="G209" s="38">
        <v>693</v>
      </c>
      <c r="H209" s="38">
        <v>574</v>
      </c>
      <c r="I209" s="39">
        <v>0.98365624162901066</v>
      </c>
      <c r="J209" s="38">
        <v>565</v>
      </c>
      <c r="K209" s="40"/>
      <c r="L209" s="38" t="s">
        <v>154</v>
      </c>
    </row>
    <row r="210" spans="1:12" hidden="1" x14ac:dyDescent="0.2">
      <c r="B210" s="63" t="s">
        <v>156</v>
      </c>
      <c r="C210" s="3"/>
      <c r="D210" s="38">
        <v>0</v>
      </c>
      <c r="E210" s="38">
        <v>0</v>
      </c>
      <c r="F210" s="38"/>
      <c r="G210" s="38"/>
      <c r="H210" s="38"/>
      <c r="I210" s="39"/>
      <c r="J210" s="38"/>
      <c r="K210" s="40"/>
      <c r="L210" s="38"/>
    </row>
    <row r="211" spans="1:12" hidden="1" x14ac:dyDescent="0.2">
      <c r="B211" s="63" t="s">
        <v>157</v>
      </c>
      <c r="C211" s="3"/>
      <c r="D211" s="38">
        <v>0</v>
      </c>
      <c r="E211" s="38">
        <v>0</v>
      </c>
      <c r="F211" s="38"/>
      <c r="G211" s="38"/>
      <c r="H211" s="38"/>
      <c r="I211" s="39"/>
      <c r="J211" s="38"/>
      <c r="K211" s="40"/>
      <c r="L211" s="38"/>
    </row>
    <row r="212" spans="1:12" ht="12" hidden="1" customHeight="1" x14ac:dyDescent="0.2">
      <c r="B212" s="118" t="s">
        <v>158</v>
      </c>
      <c r="C212" s="3"/>
      <c r="D212" s="38">
        <v>0</v>
      </c>
      <c r="E212" s="38">
        <v>0</v>
      </c>
      <c r="F212" s="38"/>
      <c r="G212" s="38"/>
      <c r="H212" s="38"/>
      <c r="I212" s="39"/>
      <c r="J212" s="38"/>
      <c r="K212" s="40"/>
      <c r="L212" s="38"/>
    </row>
    <row r="213" spans="1:12" ht="12.75" hidden="1" customHeight="1" x14ac:dyDescent="0.2">
      <c r="B213" s="118" t="s">
        <v>146</v>
      </c>
      <c r="C213" s="3"/>
      <c r="D213" s="38">
        <v>0</v>
      </c>
      <c r="E213" s="38">
        <v>0</v>
      </c>
      <c r="F213" s="38"/>
      <c r="G213" s="38"/>
      <c r="H213" s="38"/>
      <c r="I213" s="39"/>
      <c r="J213" s="38"/>
      <c r="K213" s="40"/>
      <c r="L213" s="38"/>
    </row>
    <row r="214" spans="1:12" x14ac:dyDescent="0.2">
      <c r="B214" s="118" t="s">
        <v>147</v>
      </c>
      <c r="C214" s="3" t="s">
        <v>159</v>
      </c>
      <c r="D214" s="38">
        <v>1070</v>
      </c>
      <c r="E214" s="38">
        <v>1070</v>
      </c>
      <c r="F214" s="38">
        <v>0</v>
      </c>
      <c r="G214" s="38">
        <v>554</v>
      </c>
      <c r="H214" s="38">
        <v>516</v>
      </c>
      <c r="I214" s="39">
        <v>0.90640394088669951</v>
      </c>
      <c r="J214" s="38">
        <v>468</v>
      </c>
      <c r="K214" s="40"/>
      <c r="L214" s="38"/>
    </row>
    <row r="215" spans="1:12" hidden="1" x14ac:dyDescent="0.2">
      <c r="B215" s="118" t="s">
        <v>148</v>
      </c>
      <c r="C215" s="3"/>
      <c r="D215" s="38">
        <v>0</v>
      </c>
      <c r="E215" s="38">
        <v>0</v>
      </c>
      <c r="F215" s="38"/>
      <c r="G215" s="38"/>
      <c r="H215" s="38"/>
      <c r="I215" s="39"/>
      <c r="J215" s="38"/>
      <c r="K215" s="40"/>
      <c r="L215" s="38"/>
    </row>
    <row r="216" spans="1:12" x14ac:dyDescent="0.2">
      <c r="B216" s="63" t="s">
        <v>149</v>
      </c>
      <c r="C216" s="3"/>
      <c r="D216" s="38">
        <v>0</v>
      </c>
      <c r="E216" s="38">
        <v>0</v>
      </c>
      <c r="F216" s="38">
        <v>0</v>
      </c>
      <c r="G216" s="38">
        <v>0</v>
      </c>
      <c r="H216" s="38">
        <v>0</v>
      </c>
      <c r="I216" s="71" t="s">
        <v>32</v>
      </c>
      <c r="J216" s="38">
        <v>0</v>
      </c>
      <c r="K216" s="40"/>
      <c r="L216" s="38"/>
    </row>
    <row r="217" spans="1:12" x14ac:dyDescent="0.2">
      <c r="B217" s="63" t="s">
        <v>150</v>
      </c>
      <c r="C217" s="3" t="s">
        <v>160</v>
      </c>
      <c r="D217" s="38">
        <v>104104</v>
      </c>
      <c r="E217" s="38">
        <v>104062</v>
      </c>
      <c r="F217" s="38">
        <v>42</v>
      </c>
      <c r="G217" s="38">
        <v>58527</v>
      </c>
      <c r="H217" s="38">
        <v>45535</v>
      </c>
      <c r="I217" s="39">
        <v>0.99529667149059331</v>
      </c>
      <c r="J217" s="38">
        <v>45321</v>
      </c>
      <c r="K217" s="40"/>
      <c r="L217" s="38"/>
    </row>
    <row r="218" spans="1:12" x14ac:dyDescent="0.2">
      <c r="B218" s="63" t="s">
        <v>151</v>
      </c>
      <c r="C218" s="64" t="s">
        <v>161</v>
      </c>
      <c r="D218" s="65">
        <v>27609</v>
      </c>
      <c r="E218" s="65">
        <v>27609</v>
      </c>
      <c r="F218" s="65">
        <v>0</v>
      </c>
      <c r="G218" s="65">
        <v>14266</v>
      </c>
      <c r="H218" s="65">
        <v>13343</v>
      </c>
      <c r="I218" s="66">
        <v>0.96360601001669444</v>
      </c>
      <c r="J218" s="65">
        <v>12833</v>
      </c>
      <c r="K218" s="51"/>
      <c r="L218" s="65"/>
    </row>
    <row r="219" spans="1:12" x14ac:dyDescent="0.2">
      <c r="B219" s="62" t="s">
        <v>22</v>
      </c>
      <c r="C219" s="84"/>
      <c r="D219" s="85">
        <v>137096</v>
      </c>
      <c r="E219" s="85">
        <v>137054</v>
      </c>
      <c r="F219" s="85">
        <v>42</v>
      </c>
      <c r="G219" s="85">
        <v>75705</v>
      </c>
      <c r="H219" s="85">
        <v>61349</v>
      </c>
      <c r="I219" s="117">
        <v>0.9872969799752136</v>
      </c>
      <c r="J219" s="85">
        <v>60545</v>
      </c>
      <c r="K219" s="72"/>
      <c r="L219" s="84"/>
    </row>
    <row r="220" spans="1:12" x14ac:dyDescent="0.2">
      <c r="B220" s="62"/>
      <c r="C220" s="84"/>
      <c r="D220" s="85"/>
      <c r="E220" s="85"/>
      <c r="F220" s="85"/>
      <c r="G220" s="85"/>
      <c r="H220" s="85"/>
      <c r="I220" s="117"/>
      <c r="J220" s="85"/>
      <c r="K220" s="72"/>
      <c r="L220" s="84"/>
    </row>
    <row r="221" spans="1:12" ht="4.05" customHeight="1" x14ac:dyDescent="0.2">
      <c r="B221" s="72"/>
      <c r="C221" s="78"/>
      <c r="D221" s="79"/>
      <c r="E221" s="79"/>
      <c r="F221" s="79"/>
      <c r="G221" s="79"/>
      <c r="H221" s="79"/>
      <c r="I221" s="80"/>
      <c r="J221" s="79"/>
      <c r="K221" s="81"/>
      <c r="L221" s="82"/>
    </row>
    <row r="222" spans="1:12" x14ac:dyDescent="0.2">
      <c r="B222" s="83" t="s">
        <v>41</v>
      </c>
      <c r="C222" s="84"/>
      <c r="D222" s="85">
        <v>144168</v>
      </c>
      <c r="E222" s="85">
        <v>144066</v>
      </c>
      <c r="F222" s="85">
        <v>102</v>
      </c>
      <c r="G222" s="85">
        <v>78668</v>
      </c>
      <c r="H222" s="85">
        <v>65398</v>
      </c>
      <c r="I222" s="117">
        <v>0.98675294081654508</v>
      </c>
      <c r="J222" s="85">
        <v>64507</v>
      </c>
      <c r="K222" s="72"/>
      <c r="L222" s="84"/>
    </row>
    <row r="223" spans="1:12" ht="11.25" customHeight="1" x14ac:dyDescent="0.2">
      <c r="C223" s="33"/>
      <c r="L223" s="33"/>
    </row>
    <row r="224" spans="1:12" x14ac:dyDescent="0.2">
      <c r="A224" s="32" t="s">
        <v>162</v>
      </c>
      <c r="C224" s="33"/>
      <c r="L224" s="33"/>
    </row>
    <row r="225" spans="1:12" x14ac:dyDescent="0.2">
      <c r="B225" s="32" t="s">
        <v>163</v>
      </c>
      <c r="C225" s="33"/>
      <c r="L225" s="33"/>
    </row>
    <row r="226" spans="1:12" hidden="1" x14ac:dyDescent="0.2">
      <c r="B226" s="130" t="s">
        <v>164</v>
      </c>
      <c r="C226" s="3"/>
      <c r="D226" s="38">
        <v>0</v>
      </c>
      <c r="E226" s="38">
        <v>0</v>
      </c>
      <c r="F226" s="38"/>
      <c r="G226" s="38"/>
      <c r="H226" s="38"/>
      <c r="I226" s="39"/>
      <c r="J226" s="38"/>
      <c r="K226" s="38"/>
      <c r="L226" s="38"/>
    </row>
    <row r="227" spans="1:12" x14ac:dyDescent="0.2">
      <c r="B227" s="63" t="s">
        <v>165</v>
      </c>
      <c r="C227" s="11"/>
      <c r="D227" s="38">
        <v>15057</v>
      </c>
      <c r="E227" s="38">
        <v>15057</v>
      </c>
      <c r="F227" s="91">
        <v>0</v>
      </c>
      <c r="G227" s="91">
        <v>7529</v>
      </c>
      <c r="H227" s="91">
        <v>7528</v>
      </c>
      <c r="I227" s="92">
        <v>1</v>
      </c>
      <c r="J227" s="91">
        <v>7528</v>
      </c>
      <c r="K227" s="48"/>
      <c r="L227" s="91" t="s">
        <v>166</v>
      </c>
    </row>
    <row r="228" spans="1:12" ht="12.3" hidden="1" customHeight="1" x14ac:dyDescent="0.2">
      <c r="B228" s="63" t="s">
        <v>365</v>
      </c>
      <c r="C228" s="33"/>
      <c r="D228" s="34">
        <v>0</v>
      </c>
      <c r="E228" s="34">
        <v>0</v>
      </c>
      <c r="K228" s="38"/>
      <c r="L228" s="34"/>
    </row>
    <row r="229" spans="1:12" ht="12.3" hidden="1" customHeight="1" x14ac:dyDescent="0.2">
      <c r="B229" s="63" t="s">
        <v>366</v>
      </c>
      <c r="C229" s="33"/>
      <c r="D229" s="34">
        <v>0</v>
      </c>
      <c r="E229" s="34">
        <v>0</v>
      </c>
      <c r="K229" s="38"/>
      <c r="L229" s="34"/>
    </row>
    <row r="230" spans="1:12" x14ac:dyDescent="0.2">
      <c r="B230" s="62" t="s">
        <v>22</v>
      </c>
      <c r="C230" s="127"/>
      <c r="D230" s="128">
        <v>15057</v>
      </c>
      <c r="E230" s="128">
        <v>15057</v>
      </c>
      <c r="F230" s="128">
        <v>0</v>
      </c>
      <c r="G230" s="128">
        <v>7529</v>
      </c>
      <c r="H230" s="128">
        <v>7528</v>
      </c>
      <c r="I230" s="131">
        <v>1</v>
      </c>
      <c r="J230" s="128">
        <v>7528</v>
      </c>
      <c r="K230" s="129"/>
      <c r="L230" s="127"/>
    </row>
    <row r="231" spans="1:12" x14ac:dyDescent="0.2">
      <c r="B231" s="62"/>
      <c r="C231" s="84"/>
      <c r="D231" s="85"/>
      <c r="E231" s="85"/>
      <c r="F231" s="85"/>
      <c r="G231" s="85"/>
      <c r="H231" s="85"/>
      <c r="I231" s="117"/>
      <c r="J231" s="85"/>
      <c r="K231" s="72"/>
      <c r="L231" s="84"/>
    </row>
    <row r="232" spans="1:12" x14ac:dyDescent="0.2">
      <c r="B232" s="102" t="s">
        <v>167</v>
      </c>
      <c r="C232" s="33"/>
      <c r="L232" s="33"/>
    </row>
    <row r="233" spans="1:12" x14ac:dyDescent="0.2">
      <c r="B233" s="132" t="s">
        <v>168</v>
      </c>
      <c r="C233" s="103" t="s">
        <v>169</v>
      </c>
      <c r="D233" s="65">
        <v>2444807</v>
      </c>
      <c r="E233" s="65">
        <v>2437864</v>
      </c>
      <c r="F233" s="65">
        <v>6943</v>
      </c>
      <c r="G233" s="65">
        <v>1207808</v>
      </c>
      <c r="H233" s="65">
        <v>1230056</v>
      </c>
      <c r="I233" s="66">
        <v>0.98802259887005695</v>
      </c>
      <c r="J233" s="65">
        <v>1215298</v>
      </c>
      <c r="K233" s="104"/>
      <c r="L233" s="105"/>
    </row>
    <row r="234" spans="1:12" x14ac:dyDescent="0.2">
      <c r="B234" s="62" t="s">
        <v>22</v>
      </c>
      <c r="C234" s="84"/>
      <c r="D234" s="85">
        <v>2444807</v>
      </c>
      <c r="E234" s="85">
        <v>2437864</v>
      </c>
      <c r="F234" s="85">
        <v>6943</v>
      </c>
      <c r="G234" s="85">
        <v>1207808</v>
      </c>
      <c r="H234" s="85">
        <v>1230056</v>
      </c>
      <c r="I234" s="117">
        <v>0.98802225309768621</v>
      </c>
      <c r="J234" s="85">
        <v>1215298</v>
      </c>
      <c r="K234" s="72"/>
      <c r="L234" s="84"/>
    </row>
    <row r="235" spans="1:12" x14ac:dyDescent="0.2">
      <c r="B235" s="62"/>
      <c r="C235" s="84"/>
      <c r="D235" s="85"/>
      <c r="E235" s="85"/>
      <c r="F235" s="85"/>
      <c r="G235" s="85"/>
      <c r="H235" s="85"/>
      <c r="I235" s="117"/>
      <c r="J235" s="85"/>
      <c r="K235" s="72"/>
      <c r="L235" s="84"/>
    </row>
    <row r="236" spans="1:12" ht="4.05" customHeight="1" x14ac:dyDescent="0.2">
      <c r="B236" s="72"/>
      <c r="C236" s="78"/>
      <c r="D236" s="79"/>
      <c r="E236" s="79"/>
      <c r="F236" s="79"/>
      <c r="G236" s="79"/>
      <c r="H236" s="79"/>
      <c r="I236" s="80"/>
      <c r="J236" s="79"/>
      <c r="K236" s="81"/>
      <c r="L236" s="82"/>
    </row>
    <row r="237" spans="1:12" x14ac:dyDescent="0.2">
      <c r="B237" s="83" t="s">
        <v>41</v>
      </c>
      <c r="C237" s="84"/>
      <c r="D237" s="85">
        <v>2459864</v>
      </c>
      <c r="E237" s="85">
        <v>2452921</v>
      </c>
      <c r="F237" s="85">
        <v>6943</v>
      </c>
      <c r="G237" s="85">
        <v>1215337</v>
      </c>
      <c r="H237" s="85">
        <v>1237584</v>
      </c>
      <c r="I237" s="117">
        <v>0.98809511304107522</v>
      </c>
      <c r="J237" s="85">
        <v>1222826</v>
      </c>
      <c r="K237" s="72"/>
      <c r="L237" s="84"/>
    </row>
    <row r="238" spans="1:12" ht="12" customHeight="1" x14ac:dyDescent="0.2">
      <c r="B238" s="83"/>
      <c r="C238" s="84"/>
      <c r="D238" s="85"/>
      <c r="E238" s="85"/>
      <c r="F238" s="85"/>
      <c r="G238" s="85"/>
      <c r="H238" s="85"/>
      <c r="I238" s="117"/>
      <c r="J238" s="85"/>
      <c r="K238" s="72"/>
      <c r="L238" s="84"/>
    </row>
    <row r="239" spans="1:12" x14ac:dyDescent="0.2">
      <c r="A239" s="133" t="s">
        <v>170</v>
      </c>
      <c r="B239" s="102"/>
      <c r="C239" s="33"/>
      <c r="L239" s="33"/>
    </row>
    <row r="240" spans="1:12" ht="12.75" customHeight="1" x14ac:dyDescent="0.2">
      <c r="A240" s="133"/>
      <c r="B240" s="102" t="s">
        <v>367</v>
      </c>
      <c r="C240" s="33"/>
      <c r="L240" s="33"/>
    </row>
    <row r="241" spans="1:20" hidden="1" x14ac:dyDescent="0.2">
      <c r="B241" s="63" t="s">
        <v>171</v>
      </c>
      <c r="C241" s="3"/>
      <c r="D241" s="38">
        <v>0</v>
      </c>
      <c r="E241" s="38">
        <v>0</v>
      </c>
      <c r="F241" s="38"/>
      <c r="G241" s="38"/>
      <c r="H241" s="38"/>
      <c r="I241" s="39"/>
      <c r="J241" s="38"/>
      <c r="K241" s="40"/>
      <c r="L241" s="38"/>
    </row>
    <row r="242" spans="1:20" x14ac:dyDescent="0.2">
      <c r="B242" s="63" t="s">
        <v>172</v>
      </c>
      <c r="C242" s="3"/>
      <c r="D242" s="38">
        <v>1209</v>
      </c>
      <c r="E242" s="38">
        <v>1209</v>
      </c>
      <c r="F242" s="38">
        <v>0</v>
      </c>
      <c r="G242" s="38">
        <v>604</v>
      </c>
      <c r="H242" s="38">
        <v>605</v>
      </c>
      <c r="I242" s="92">
        <v>1</v>
      </c>
      <c r="J242" s="38">
        <v>605</v>
      </c>
      <c r="K242" s="40"/>
      <c r="L242" s="38" t="s">
        <v>61</v>
      </c>
    </row>
    <row r="243" spans="1:20" hidden="1" x14ac:dyDescent="0.2">
      <c r="B243" s="63" t="s">
        <v>173</v>
      </c>
      <c r="C243" s="3"/>
      <c r="D243" s="38">
        <v>0</v>
      </c>
      <c r="E243" s="38">
        <v>0</v>
      </c>
      <c r="F243" s="38"/>
      <c r="G243" s="38"/>
      <c r="H243" s="38"/>
      <c r="I243" s="92"/>
      <c r="J243" s="38"/>
      <c r="K243" s="40"/>
      <c r="L243" s="38"/>
    </row>
    <row r="244" spans="1:20" hidden="1" x14ac:dyDescent="0.2">
      <c r="B244" s="2" t="s">
        <v>174</v>
      </c>
      <c r="C244" s="3"/>
      <c r="D244" s="38">
        <v>0</v>
      </c>
      <c r="E244" s="38">
        <v>0</v>
      </c>
      <c r="F244" s="38"/>
      <c r="G244" s="38"/>
      <c r="H244" s="38"/>
      <c r="I244" s="39"/>
      <c r="J244" s="38"/>
      <c r="K244" s="38"/>
      <c r="L244" s="38"/>
    </row>
    <row r="245" spans="1:20" hidden="1" x14ac:dyDescent="0.2">
      <c r="B245" s="132" t="s">
        <v>175</v>
      </c>
      <c r="C245" s="3"/>
      <c r="D245" s="38">
        <v>0</v>
      </c>
      <c r="E245" s="38">
        <v>0</v>
      </c>
      <c r="F245" s="38"/>
      <c r="G245" s="38"/>
      <c r="H245" s="38"/>
      <c r="I245" s="39"/>
      <c r="J245" s="38"/>
      <c r="K245" s="38"/>
      <c r="L245" s="38"/>
    </row>
    <row r="246" spans="1:20" hidden="1" x14ac:dyDescent="0.2">
      <c r="B246" s="2" t="s">
        <v>176</v>
      </c>
      <c r="C246" s="3"/>
      <c r="D246" s="38">
        <v>0</v>
      </c>
      <c r="E246" s="38">
        <v>0</v>
      </c>
      <c r="F246" s="38"/>
      <c r="G246" s="38"/>
      <c r="H246" s="38"/>
      <c r="I246" s="39"/>
      <c r="J246" s="38"/>
      <c r="K246" s="38"/>
      <c r="L246" s="38"/>
    </row>
    <row r="247" spans="1:20" hidden="1" x14ac:dyDescent="0.2">
      <c r="B247" s="2" t="s">
        <v>177</v>
      </c>
      <c r="C247" s="3"/>
      <c r="D247" s="38">
        <v>0</v>
      </c>
      <c r="E247" s="38">
        <v>0</v>
      </c>
      <c r="F247" s="120"/>
      <c r="G247" s="120"/>
      <c r="H247" s="120"/>
      <c r="I247" s="119"/>
      <c r="J247" s="120"/>
      <c r="K247" s="38"/>
      <c r="L247" s="38"/>
    </row>
    <row r="248" spans="1:20" x14ac:dyDescent="0.2">
      <c r="B248" s="1" t="s">
        <v>22</v>
      </c>
      <c r="C248" s="53"/>
      <c r="D248" s="54">
        <v>1209</v>
      </c>
      <c r="E248" s="54">
        <v>1209</v>
      </c>
      <c r="F248" s="54">
        <v>0</v>
      </c>
      <c r="G248" s="54">
        <v>604</v>
      </c>
      <c r="H248" s="54">
        <v>605</v>
      </c>
      <c r="I248" s="131">
        <v>1</v>
      </c>
      <c r="J248" s="54">
        <v>605</v>
      </c>
      <c r="K248" s="134"/>
      <c r="L248" s="54"/>
    </row>
    <row r="249" spans="1:20" x14ac:dyDescent="0.2">
      <c r="B249" s="2"/>
      <c r="C249" s="33"/>
      <c r="L249" s="33"/>
    </row>
    <row r="250" spans="1:20" ht="12.75" customHeight="1" x14ac:dyDescent="0.2">
      <c r="B250" s="102" t="s">
        <v>368</v>
      </c>
      <c r="C250" s="33"/>
      <c r="L250" s="33"/>
    </row>
    <row r="251" spans="1:20" x14ac:dyDescent="0.2">
      <c r="B251" s="2" t="s">
        <v>172</v>
      </c>
      <c r="C251" s="210" t="s">
        <v>178</v>
      </c>
      <c r="D251" s="210"/>
      <c r="E251" s="210"/>
      <c r="F251" s="210"/>
      <c r="G251" s="210"/>
      <c r="H251" s="210"/>
      <c r="I251" s="210"/>
      <c r="J251" s="210"/>
      <c r="K251" s="210"/>
      <c r="L251" s="210"/>
      <c r="T251" s="106"/>
    </row>
    <row r="252" spans="1:20" ht="4.05" customHeight="1" x14ac:dyDescent="0.2">
      <c r="A252" s="135"/>
      <c r="B252" s="72"/>
      <c r="C252" s="78"/>
      <c r="D252" s="79"/>
      <c r="E252" s="79"/>
      <c r="F252" s="79"/>
      <c r="G252" s="136"/>
      <c r="H252" s="79"/>
      <c r="I252" s="80"/>
      <c r="J252" s="79"/>
      <c r="K252" s="81"/>
      <c r="L252" s="82"/>
    </row>
    <row r="253" spans="1:20" x14ac:dyDescent="0.2">
      <c r="B253" s="83" t="s">
        <v>41</v>
      </c>
      <c r="C253" s="84"/>
      <c r="D253" s="85">
        <v>1209</v>
      </c>
      <c r="E253" s="85">
        <v>1209</v>
      </c>
      <c r="F253" s="85">
        <v>0</v>
      </c>
      <c r="G253" s="85">
        <v>604</v>
      </c>
      <c r="H253" s="85">
        <v>605</v>
      </c>
      <c r="I253" s="117">
        <v>1</v>
      </c>
      <c r="J253" s="85">
        <v>605</v>
      </c>
      <c r="K253" s="72"/>
      <c r="L253" s="84"/>
    </row>
    <row r="254" spans="1:20" x14ac:dyDescent="0.2">
      <c r="B254" s="83"/>
      <c r="C254" s="84"/>
      <c r="D254" s="85"/>
      <c r="E254" s="85"/>
      <c r="F254" s="85"/>
      <c r="G254" s="85"/>
      <c r="H254" s="85"/>
      <c r="I254" s="117"/>
      <c r="J254" s="85"/>
      <c r="K254" s="72"/>
      <c r="L254" s="84"/>
    </row>
    <row r="255" spans="1:20" x14ac:dyDescent="0.2">
      <c r="A255" s="133" t="s">
        <v>179</v>
      </c>
      <c r="B255" s="102"/>
      <c r="C255" s="33"/>
      <c r="L255" s="33"/>
    </row>
    <row r="256" spans="1:20" ht="12.75" customHeight="1" x14ac:dyDescent="0.2">
      <c r="A256" s="133"/>
      <c r="B256" s="102" t="s">
        <v>369</v>
      </c>
      <c r="C256" s="33"/>
      <c r="L256" s="33"/>
    </row>
    <row r="257" spans="1:12" ht="12" hidden="1" customHeight="1" x14ac:dyDescent="0.2">
      <c r="B257" s="132" t="s">
        <v>180</v>
      </c>
      <c r="C257" s="33"/>
      <c r="D257" s="34">
        <v>0</v>
      </c>
      <c r="E257" s="34">
        <v>0</v>
      </c>
      <c r="K257" s="38"/>
      <c r="L257" s="34"/>
    </row>
    <row r="258" spans="1:12" ht="12.3" customHeight="1" x14ac:dyDescent="0.2">
      <c r="B258" s="2" t="s">
        <v>181</v>
      </c>
      <c r="C258" s="64"/>
      <c r="D258" s="65">
        <v>24264</v>
      </c>
      <c r="E258" s="65">
        <v>24264</v>
      </c>
      <c r="F258" s="65">
        <v>0</v>
      </c>
      <c r="G258" s="65">
        <v>13663</v>
      </c>
      <c r="H258" s="65">
        <v>10601</v>
      </c>
      <c r="I258" s="66">
        <v>0.97422680412371132</v>
      </c>
      <c r="J258" s="65">
        <v>10328</v>
      </c>
      <c r="K258" s="65"/>
      <c r="L258" s="137"/>
    </row>
    <row r="259" spans="1:12" x14ac:dyDescent="0.2">
      <c r="B259" s="83" t="s">
        <v>22</v>
      </c>
      <c r="C259" s="33"/>
      <c r="D259" s="34">
        <v>24264</v>
      </c>
      <c r="E259" s="34">
        <v>24264</v>
      </c>
      <c r="F259" s="34">
        <v>0</v>
      </c>
      <c r="G259" s="34">
        <v>13663</v>
      </c>
      <c r="H259" s="34">
        <v>10601</v>
      </c>
      <c r="I259" s="117">
        <v>0.97424771247995468</v>
      </c>
      <c r="J259" s="34">
        <v>10328</v>
      </c>
      <c r="L259" s="33"/>
    </row>
    <row r="260" spans="1:12" x14ac:dyDescent="0.2">
      <c r="A260" s="138"/>
      <c r="B260" s="1"/>
      <c r="C260" s="33"/>
      <c r="L260" s="33"/>
    </row>
    <row r="261" spans="1:12" ht="12.75" customHeight="1" x14ac:dyDescent="0.2">
      <c r="A261" s="138"/>
      <c r="B261" s="102" t="s">
        <v>367</v>
      </c>
      <c r="C261" s="33"/>
      <c r="L261" s="33"/>
    </row>
    <row r="262" spans="1:12" ht="12.75" customHeight="1" x14ac:dyDescent="0.2">
      <c r="A262" s="138"/>
      <c r="B262" s="2" t="s">
        <v>180</v>
      </c>
      <c r="C262" s="11"/>
      <c r="D262" s="91">
        <v>1011</v>
      </c>
      <c r="E262" s="91">
        <v>1011</v>
      </c>
      <c r="F262" s="91">
        <v>0</v>
      </c>
      <c r="G262" s="91">
        <v>569</v>
      </c>
      <c r="H262" s="91">
        <v>442</v>
      </c>
      <c r="I262" s="92">
        <v>0.97422680412371132</v>
      </c>
      <c r="J262" s="91">
        <v>430.60824742268039</v>
      </c>
      <c r="K262" s="91"/>
      <c r="L262" s="91" t="s">
        <v>182</v>
      </c>
    </row>
    <row r="263" spans="1:12" ht="12" customHeight="1" x14ac:dyDescent="0.2">
      <c r="A263" s="138"/>
      <c r="B263" s="2" t="s">
        <v>183</v>
      </c>
      <c r="C263" s="64"/>
      <c r="D263" s="65">
        <v>980</v>
      </c>
      <c r="E263" s="65">
        <v>979</v>
      </c>
      <c r="F263" s="65">
        <v>1</v>
      </c>
      <c r="G263" s="65">
        <v>477</v>
      </c>
      <c r="H263" s="65">
        <v>502</v>
      </c>
      <c r="I263" s="66">
        <v>0.981002017913298</v>
      </c>
      <c r="J263" s="65">
        <v>492</v>
      </c>
      <c r="K263" s="65"/>
      <c r="L263" s="65" t="s">
        <v>184</v>
      </c>
    </row>
    <row r="264" spans="1:12" x14ac:dyDescent="0.2">
      <c r="A264" s="138"/>
      <c r="B264" s="83" t="s">
        <v>22</v>
      </c>
      <c r="C264" s="33"/>
      <c r="D264" s="34">
        <v>1991</v>
      </c>
      <c r="E264" s="34">
        <v>1990</v>
      </c>
      <c r="F264" s="34">
        <v>1</v>
      </c>
      <c r="G264" s="34">
        <v>1046</v>
      </c>
      <c r="H264" s="34">
        <v>944</v>
      </c>
      <c r="I264" s="117">
        <v>0.97733924515114445</v>
      </c>
      <c r="J264" s="34">
        <v>922.60824742268039</v>
      </c>
      <c r="L264" s="33"/>
    </row>
    <row r="265" spans="1:12" x14ac:dyDescent="0.2">
      <c r="A265" s="138"/>
      <c r="B265" s="1"/>
      <c r="C265" s="33"/>
      <c r="L265" s="33"/>
    </row>
    <row r="266" spans="1:12" x14ac:dyDescent="0.2">
      <c r="A266" s="138"/>
      <c r="B266" s="102" t="s">
        <v>185</v>
      </c>
      <c r="C266" s="33"/>
      <c r="L266" s="33"/>
    </row>
    <row r="267" spans="1:12" ht="11.4" x14ac:dyDescent="0.2">
      <c r="A267" s="138"/>
      <c r="B267" s="2" t="s">
        <v>370</v>
      </c>
      <c r="C267" s="3" t="s">
        <v>186</v>
      </c>
      <c r="D267" s="38">
        <v>354.16999999999996</v>
      </c>
      <c r="E267" s="38">
        <v>353.16999999999996</v>
      </c>
      <c r="F267" s="38">
        <v>1</v>
      </c>
      <c r="G267" s="38">
        <v>172.17</v>
      </c>
      <c r="H267" s="38">
        <v>181</v>
      </c>
      <c r="I267" s="39">
        <v>0.981002017913298</v>
      </c>
      <c r="J267" s="38">
        <v>178</v>
      </c>
      <c r="K267" s="38"/>
      <c r="L267" s="38" t="s">
        <v>187</v>
      </c>
    </row>
    <row r="268" spans="1:12" x14ac:dyDescent="0.2">
      <c r="A268" s="138"/>
      <c r="B268" s="2" t="s">
        <v>188</v>
      </c>
      <c r="C268" s="38" t="s">
        <v>189</v>
      </c>
      <c r="D268" s="38">
        <v>3514</v>
      </c>
      <c r="E268" s="38">
        <v>3514</v>
      </c>
      <c r="F268" s="38">
        <v>0</v>
      </c>
      <c r="G268" s="38">
        <v>1464</v>
      </c>
      <c r="H268" s="38">
        <v>2050</v>
      </c>
      <c r="I268" s="39">
        <v>0.98185941043083902</v>
      </c>
      <c r="J268" s="38">
        <v>2013</v>
      </c>
      <c r="K268" s="38"/>
      <c r="L268" s="38"/>
    </row>
    <row r="269" spans="1:12" x14ac:dyDescent="0.2">
      <c r="A269" s="138"/>
      <c r="B269" s="132" t="s">
        <v>190</v>
      </c>
      <c r="C269" s="38"/>
      <c r="D269" s="38">
        <v>0</v>
      </c>
      <c r="E269" s="38">
        <v>0</v>
      </c>
      <c r="F269" s="38">
        <v>0</v>
      </c>
      <c r="G269" s="38">
        <v>0</v>
      </c>
      <c r="H269" s="38">
        <v>0</v>
      </c>
      <c r="I269" s="71" t="s">
        <v>32</v>
      </c>
      <c r="J269" s="38">
        <v>0</v>
      </c>
      <c r="K269" s="38"/>
      <c r="L269" s="38"/>
    </row>
    <row r="270" spans="1:12" x14ac:dyDescent="0.2">
      <c r="A270" s="138"/>
      <c r="B270" s="135" t="s">
        <v>191</v>
      </c>
      <c r="C270" s="38"/>
      <c r="D270" s="38">
        <v>4687</v>
      </c>
      <c r="E270" s="38">
        <v>4687</v>
      </c>
      <c r="F270" s="38">
        <v>0</v>
      </c>
      <c r="G270" s="38">
        <v>2196</v>
      </c>
      <c r="H270" s="38">
        <v>2491</v>
      </c>
      <c r="I270" s="39">
        <v>0.99736842105263157</v>
      </c>
      <c r="J270" s="38">
        <v>2484</v>
      </c>
      <c r="K270" s="38"/>
      <c r="L270" s="38" t="s">
        <v>192</v>
      </c>
    </row>
    <row r="271" spans="1:12" x14ac:dyDescent="0.2">
      <c r="A271" s="138"/>
      <c r="B271" s="135" t="s">
        <v>193</v>
      </c>
      <c r="C271" s="38" t="s">
        <v>194</v>
      </c>
      <c r="D271" s="38">
        <v>9477</v>
      </c>
      <c r="E271" s="38">
        <v>9477</v>
      </c>
      <c r="F271" s="38">
        <v>0</v>
      </c>
      <c r="G271" s="38">
        <v>3105</v>
      </c>
      <c r="H271" s="38">
        <v>6372</v>
      </c>
      <c r="I271" s="39">
        <v>1</v>
      </c>
      <c r="J271" s="38">
        <v>6372</v>
      </c>
      <c r="K271" s="38"/>
      <c r="L271" s="38"/>
    </row>
    <row r="272" spans="1:12" ht="12" customHeight="1" x14ac:dyDescent="0.2">
      <c r="A272" s="138"/>
      <c r="B272" s="2" t="s">
        <v>195</v>
      </c>
      <c r="C272" s="38" t="s">
        <v>186</v>
      </c>
      <c r="D272" s="38">
        <v>334</v>
      </c>
      <c r="E272" s="38">
        <v>334</v>
      </c>
      <c r="F272" s="38">
        <v>0</v>
      </c>
      <c r="G272" s="38">
        <v>163</v>
      </c>
      <c r="H272" s="38">
        <v>171</v>
      </c>
      <c r="I272" s="39">
        <v>0.981002017913298</v>
      </c>
      <c r="J272" s="38">
        <v>167.75</v>
      </c>
      <c r="K272" s="38"/>
      <c r="L272" s="38" t="s">
        <v>196</v>
      </c>
    </row>
    <row r="273" spans="1:12" ht="12" customHeight="1" x14ac:dyDescent="0.2">
      <c r="A273" s="138"/>
      <c r="B273" s="132" t="s">
        <v>197</v>
      </c>
      <c r="C273" s="38" t="s">
        <v>198</v>
      </c>
      <c r="D273" s="38">
        <v>801</v>
      </c>
      <c r="E273" s="38">
        <v>794</v>
      </c>
      <c r="F273" s="38">
        <v>7</v>
      </c>
      <c r="G273" s="38">
        <v>354</v>
      </c>
      <c r="H273" s="38">
        <v>440</v>
      </c>
      <c r="I273" s="39">
        <v>0.98701298701298701</v>
      </c>
      <c r="J273" s="38">
        <v>434</v>
      </c>
      <c r="K273" s="38"/>
      <c r="L273" s="38"/>
    </row>
    <row r="274" spans="1:12" ht="12" hidden="1" customHeight="1" x14ac:dyDescent="0.2">
      <c r="A274" s="138"/>
      <c r="B274" s="132" t="s">
        <v>199</v>
      </c>
      <c r="C274" s="38"/>
      <c r="D274" s="38">
        <v>0</v>
      </c>
      <c r="E274" s="38">
        <v>0</v>
      </c>
      <c r="F274" s="38"/>
      <c r="G274" s="38"/>
      <c r="H274" s="38"/>
      <c r="I274" s="39"/>
      <c r="J274" s="38"/>
      <c r="K274" s="38"/>
      <c r="L274" s="38"/>
    </row>
    <row r="275" spans="1:12" x14ac:dyDescent="0.2">
      <c r="B275" s="132" t="s">
        <v>200</v>
      </c>
      <c r="C275" s="91" t="s">
        <v>201</v>
      </c>
      <c r="D275" s="38">
        <v>210065</v>
      </c>
      <c r="E275" s="38">
        <v>209707</v>
      </c>
      <c r="F275" s="91">
        <v>358</v>
      </c>
      <c r="G275" s="91">
        <v>102384</v>
      </c>
      <c r="H275" s="91">
        <v>107323</v>
      </c>
      <c r="I275" s="92">
        <v>0.98058170482408791</v>
      </c>
      <c r="J275" s="91">
        <v>105215</v>
      </c>
      <c r="K275" s="91"/>
      <c r="L275" s="91"/>
    </row>
    <row r="276" spans="1:12" ht="12" hidden="1" customHeight="1" x14ac:dyDescent="0.2">
      <c r="B276" s="132" t="s">
        <v>202</v>
      </c>
      <c r="C276" s="91"/>
      <c r="D276" s="38">
        <v>0</v>
      </c>
      <c r="E276" s="38">
        <v>0</v>
      </c>
      <c r="F276" s="91"/>
      <c r="G276" s="91"/>
      <c r="H276" s="91"/>
      <c r="I276" s="92"/>
      <c r="J276" s="91"/>
      <c r="K276" s="91"/>
      <c r="L276" s="91"/>
    </row>
    <row r="277" spans="1:12" ht="12" customHeight="1" x14ac:dyDescent="0.2">
      <c r="B277" s="132" t="s">
        <v>203</v>
      </c>
      <c r="C277" s="91"/>
      <c r="D277" s="38">
        <v>113</v>
      </c>
      <c r="E277" s="38">
        <v>113</v>
      </c>
      <c r="F277" s="91">
        <v>0</v>
      </c>
      <c r="G277" s="91">
        <v>55</v>
      </c>
      <c r="H277" s="91">
        <v>58</v>
      </c>
      <c r="I277" s="92">
        <v>0.981002017913298</v>
      </c>
      <c r="J277" s="91">
        <v>57</v>
      </c>
      <c r="K277" s="91"/>
      <c r="L277" s="91" t="s">
        <v>196</v>
      </c>
    </row>
    <row r="278" spans="1:12" x14ac:dyDescent="0.2">
      <c r="B278" s="2" t="s">
        <v>204</v>
      </c>
      <c r="C278" s="38" t="s">
        <v>205</v>
      </c>
      <c r="D278" s="38">
        <v>8949.1</v>
      </c>
      <c r="E278" s="38">
        <v>8941.9</v>
      </c>
      <c r="F278" s="38">
        <v>7.2</v>
      </c>
      <c r="G278" s="38">
        <v>3171.5</v>
      </c>
      <c r="H278" s="38">
        <v>5770.4</v>
      </c>
      <c r="I278" s="39">
        <v>0.97785087719298247</v>
      </c>
      <c r="J278" s="38">
        <v>5643</v>
      </c>
      <c r="K278" s="38"/>
      <c r="L278" s="38"/>
    </row>
    <row r="279" spans="1:12" ht="12" customHeight="1" x14ac:dyDescent="0.2">
      <c r="B279" s="2" t="s">
        <v>206</v>
      </c>
      <c r="C279" s="38" t="s">
        <v>207</v>
      </c>
      <c r="D279" s="38">
        <v>1092</v>
      </c>
      <c r="E279" s="38">
        <v>1092</v>
      </c>
      <c r="F279" s="38">
        <v>0</v>
      </c>
      <c r="G279" s="38">
        <v>532</v>
      </c>
      <c r="H279" s="38">
        <v>560</v>
      </c>
      <c r="I279" s="39">
        <v>0.981002017913298</v>
      </c>
      <c r="J279" s="38">
        <v>549.36</v>
      </c>
      <c r="K279" s="38"/>
      <c r="L279" s="38" t="s">
        <v>196</v>
      </c>
    </row>
    <row r="280" spans="1:12" x14ac:dyDescent="0.2">
      <c r="B280" s="2" t="s">
        <v>208</v>
      </c>
      <c r="C280" s="91" t="s">
        <v>209</v>
      </c>
      <c r="D280" s="38">
        <v>2937</v>
      </c>
      <c r="E280" s="38">
        <v>2913</v>
      </c>
      <c r="F280" s="91">
        <v>24</v>
      </c>
      <c r="G280" s="91">
        <v>1237</v>
      </c>
      <c r="H280" s="91">
        <v>1676</v>
      </c>
      <c r="I280" s="92">
        <v>0.97881295043551308</v>
      </c>
      <c r="J280" s="91">
        <v>1640</v>
      </c>
      <c r="K280" s="91"/>
      <c r="L280" s="91"/>
    </row>
    <row r="281" spans="1:12" x14ac:dyDescent="0.2">
      <c r="B281" s="135" t="s">
        <v>210</v>
      </c>
      <c r="C281" s="38"/>
      <c r="D281" s="38">
        <v>0</v>
      </c>
      <c r="E281" s="38">
        <v>0</v>
      </c>
      <c r="F281" s="38">
        <v>0</v>
      </c>
      <c r="G281" s="38">
        <v>0</v>
      </c>
      <c r="H281" s="38">
        <v>0</v>
      </c>
      <c r="I281" s="71" t="s">
        <v>32</v>
      </c>
      <c r="J281" s="38">
        <v>0</v>
      </c>
      <c r="K281" s="38"/>
      <c r="L281" s="38"/>
    </row>
    <row r="282" spans="1:12" ht="12.75" customHeight="1" x14ac:dyDescent="0.2">
      <c r="B282" s="2" t="s">
        <v>371</v>
      </c>
      <c r="C282" s="38" t="s">
        <v>211</v>
      </c>
      <c r="D282" s="38">
        <v>3757</v>
      </c>
      <c r="E282" s="38">
        <v>3757</v>
      </c>
      <c r="F282" s="38">
        <v>0</v>
      </c>
      <c r="G282" s="38">
        <v>1878</v>
      </c>
      <c r="H282" s="38">
        <v>1879</v>
      </c>
      <c r="I282" s="39">
        <v>1</v>
      </c>
      <c r="J282" s="38">
        <v>1879</v>
      </c>
      <c r="K282" s="38"/>
      <c r="L282" s="38"/>
    </row>
    <row r="283" spans="1:12" ht="12.75" customHeight="1" x14ac:dyDescent="0.2">
      <c r="B283" s="2" t="s">
        <v>372</v>
      </c>
      <c r="C283" s="38" t="s">
        <v>186</v>
      </c>
      <c r="D283" s="38">
        <v>1648</v>
      </c>
      <c r="E283" s="38">
        <v>1648</v>
      </c>
      <c r="F283" s="38">
        <v>0</v>
      </c>
      <c r="G283" s="38">
        <v>803</v>
      </c>
      <c r="H283" s="38">
        <v>845</v>
      </c>
      <c r="I283" s="39">
        <v>0.981002017913298</v>
      </c>
      <c r="J283" s="38">
        <v>829</v>
      </c>
      <c r="K283" s="38"/>
      <c r="L283" s="38" t="s">
        <v>196</v>
      </c>
    </row>
    <row r="284" spans="1:12" ht="12.75" customHeight="1" x14ac:dyDescent="0.2">
      <c r="B284" s="2" t="s">
        <v>373</v>
      </c>
      <c r="C284" s="38" t="s">
        <v>186</v>
      </c>
      <c r="D284" s="38">
        <v>3851.1000000000004</v>
      </c>
      <c r="E284" s="38">
        <v>3844.8</v>
      </c>
      <c r="F284" s="38">
        <v>6.3</v>
      </c>
      <c r="G284" s="38">
        <v>1873.5</v>
      </c>
      <c r="H284" s="38">
        <v>1971.3</v>
      </c>
      <c r="I284" s="39">
        <v>0.981002017913298</v>
      </c>
      <c r="J284" s="38">
        <v>1933.85</v>
      </c>
      <c r="K284" s="38"/>
      <c r="L284" s="38" t="s">
        <v>187</v>
      </c>
    </row>
    <row r="285" spans="1:12" ht="12.75" customHeight="1" x14ac:dyDescent="0.2">
      <c r="B285" s="2" t="s">
        <v>374</v>
      </c>
      <c r="C285" s="38" t="s">
        <v>212</v>
      </c>
      <c r="D285" s="38">
        <v>3106</v>
      </c>
      <c r="E285" s="38">
        <v>3106</v>
      </c>
      <c r="F285" s="38">
        <v>0</v>
      </c>
      <c r="G285" s="38">
        <v>1513</v>
      </c>
      <c r="H285" s="38">
        <v>1593</v>
      </c>
      <c r="I285" s="39">
        <v>0.981002017913298</v>
      </c>
      <c r="J285" s="38">
        <v>1562.74</v>
      </c>
      <c r="K285" s="38"/>
      <c r="L285" s="38" t="s">
        <v>196</v>
      </c>
    </row>
    <row r="286" spans="1:12" ht="12.3" hidden="1" customHeight="1" x14ac:dyDescent="0.2">
      <c r="B286" s="2" t="s">
        <v>213</v>
      </c>
      <c r="C286" s="38"/>
      <c r="D286" s="38">
        <v>0</v>
      </c>
      <c r="E286" s="38">
        <v>0</v>
      </c>
      <c r="F286" s="38"/>
      <c r="G286" s="38"/>
      <c r="H286" s="38"/>
      <c r="I286" s="39"/>
      <c r="J286" s="38"/>
      <c r="K286" s="38"/>
      <c r="L286" s="38"/>
    </row>
    <row r="287" spans="1:12" x14ac:dyDescent="0.2">
      <c r="B287" s="135" t="s">
        <v>214</v>
      </c>
      <c r="C287" s="38" t="s">
        <v>215</v>
      </c>
      <c r="D287" s="38">
        <v>144220</v>
      </c>
      <c r="E287" s="38">
        <v>144220</v>
      </c>
      <c r="F287" s="38">
        <v>0</v>
      </c>
      <c r="G287" s="38">
        <v>67567</v>
      </c>
      <c r="H287" s="38">
        <v>76653</v>
      </c>
      <c r="I287" s="39">
        <v>0.99736842105263157</v>
      </c>
      <c r="J287" s="38">
        <v>76451</v>
      </c>
      <c r="K287" s="38"/>
      <c r="L287" s="38"/>
    </row>
    <row r="288" spans="1:12" x14ac:dyDescent="0.2">
      <c r="B288" s="135" t="s">
        <v>216</v>
      </c>
      <c r="C288" s="38"/>
      <c r="D288" s="38">
        <v>0</v>
      </c>
      <c r="E288" s="38">
        <v>0</v>
      </c>
      <c r="F288" s="38">
        <v>0</v>
      </c>
      <c r="G288" s="38">
        <v>0</v>
      </c>
      <c r="H288" s="38">
        <v>0</v>
      </c>
      <c r="I288" s="71" t="s">
        <v>32</v>
      </c>
      <c r="J288" s="38">
        <v>0</v>
      </c>
      <c r="K288" s="38"/>
      <c r="L288" s="38"/>
    </row>
    <row r="289" spans="1:12" ht="12" customHeight="1" x14ac:dyDescent="0.2">
      <c r="B289" s="2" t="s">
        <v>217</v>
      </c>
      <c r="C289" s="38"/>
      <c r="D289" s="38">
        <v>6227</v>
      </c>
      <c r="E289" s="38">
        <v>6227</v>
      </c>
      <c r="F289" s="38">
        <v>0</v>
      </c>
      <c r="G289" s="38">
        <v>2917</v>
      </c>
      <c r="H289" s="38">
        <v>3310</v>
      </c>
      <c r="I289" s="39">
        <v>0.99736842105263157</v>
      </c>
      <c r="J289" s="38">
        <v>3301</v>
      </c>
      <c r="K289" s="38"/>
      <c r="L289" s="38" t="s">
        <v>192</v>
      </c>
    </row>
    <row r="290" spans="1:12" ht="12" customHeight="1" x14ac:dyDescent="0.2">
      <c r="B290" s="132" t="s">
        <v>218</v>
      </c>
      <c r="C290" s="38" t="s">
        <v>219</v>
      </c>
      <c r="D290" s="38">
        <v>4371</v>
      </c>
      <c r="E290" s="38">
        <v>4371</v>
      </c>
      <c r="F290" s="38">
        <v>0</v>
      </c>
      <c r="G290" s="38">
        <v>2434</v>
      </c>
      <c r="H290" s="38">
        <v>1937</v>
      </c>
      <c r="I290" s="39">
        <v>1</v>
      </c>
      <c r="J290" s="38">
        <v>1937</v>
      </c>
      <c r="K290" s="38"/>
      <c r="L290" s="38"/>
    </row>
    <row r="291" spans="1:12" x14ac:dyDescent="0.2">
      <c r="B291" s="3" t="s">
        <v>220</v>
      </c>
      <c r="C291" s="38" t="s">
        <v>221</v>
      </c>
      <c r="D291" s="38">
        <v>3131</v>
      </c>
      <c r="E291" s="38">
        <v>3131</v>
      </c>
      <c r="F291" s="38">
        <v>0</v>
      </c>
      <c r="G291" s="38">
        <v>1243</v>
      </c>
      <c r="H291" s="38">
        <v>1888</v>
      </c>
      <c r="I291" s="39">
        <v>0.98972238079621677</v>
      </c>
      <c r="J291" s="38">
        <v>1868.6</v>
      </c>
      <c r="K291" s="38"/>
      <c r="L291" s="38"/>
    </row>
    <row r="292" spans="1:12" x14ac:dyDescent="0.2">
      <c r="B292" s="2" t="s">
        <v>222</v>
      </c>
      <c r="C292" s="38" t="s">
        <v>186</v>
      </c>
      <c r="D292" s="38">
        <v>1637</v>
      </c>
      <c r="E292" s="38">
        <v>1637</v>
      </c>
      <c r="F292" s="38">
        <v>0</v>
      </c>
      <c r="G292" s="38">
        <v>582</v>
      </c>
      <c r="H292" s="38">
        <v>1055</v>
      </c>
      <c r="I292" s="92">
        <v>1</v>
      </c>
      <c r="J292" s="38">
        <v>1055</v>
      </c>
      <c r="K292" s="38"/>
      <c r="L292" s="38"/>
    </row>
    <row r="293" spans="1:12" hidden="1" x14ac:dyDescent="0.2">
      <c r="B293" s="2" t="s">
        <v>223</v>
      </c>
      <c r="C293" s="38"/>
      <c r="D293" s="38">
        <v>0</v>
      </c>
      <c r="E293" s="38">
        <v>0</v>
      </c>
      <c r="F293" s="38"/>
      <c r="G293" s="38"/>
      <c r="H293" s="38"/>
      <c r="I293" s="39"/>
      <c r="J293" s="38"/>
      <c r="K293" s="38"/>
      <c r="L293" s="38"/>
    </row>
    <row r="294" spans="1:12" x14ac:dyDescent="0.2">
      <c r="B294" s="2" t="s">
        <v>224</v>
      </c>
      <c r="C294" s="65" t="s">
        <v>186</v>
      </c>
      <c r="D294" s="65">
        <v>857</v>
      </c>
      <c r="E294" s="65">
        <v>846</v>
      </c>
      <c r="F294" s="65">
        <v>11</v>
      </c>
      <c r="G294" s="65">
        <v>550</v>
      </c>
      <c r="H294" s="65">
        <v>296</v>
      </c>
      <c r="I294" s="66">
        <v>0.9419642857142857</v>
      </c>
      <c r="J294" s="65">
        <v>278.82</v>
      </c>
      <c r="K294" s="65"/>
      <c r="L294" s="65"/>
    </row>
    <row r="295" spans="1:12" x14ac:dyDescent="0.2">
      <c r="B295" s="83" t="s">
        <v>22</v>
      </c>
      <c r="C295" s="134"/>
      <c r="D295" s="134">
        <v>415128.37</v>
      </c>
      <c r="E295" s="134">
        <v>414713.87</v>
      </c>
      <c r="F295" s="134">
        <v>414.5</v>
      </c>
      <c r="G295" s="134">
        <v>196194.16999999998</v>
      </c>
      <c r="H295" s="134">
        <v>218519.69999999998</v>
      </c>
      <c r="I295" s="131">
        <v>0.9878872673466802</v>
      </c>
      <c r="J295" s="134">
        <v>215849.12000000002</v>
      </c>
      <c r="K295" s="134"/>
      <c r="L295" s="134"/>
    </row>
    <row r="296" spans="1:12" ht="4.05" customHeight="1" x14ac:dyDescent="0.2">
      <c r="B296" s="2"/>
      <c r="C296" s="65"/>
      <c r="D296" s="65"/>
      <c r="E296" s="65"/>
      <c r="F296" s="65"/>
      <c r="G296" s="65"/>
      <c r="H296" s="65"/>
      <c r="I296" s="66"/>
      <c r="J296" s="65"/>
      <c r="K296" s="65"/>
      <c r="L296" s="65"/>
    </row>
    <row r="297" spans="1:12" ht="4.05" customHeight="1" x14ac:dyDescent="0.2">
      <c r="B297" s="2"/>
      <c r="C297" s="139"/>
      <c r="D297" s="140"/>
      <c r="E297" s="140"/>
      <c r="F297" s="140"/>
      <c r="G297" s="140"/>
      <c r="H297" s="140"/>
      <c r="I297" s="141"/>
      <c r="J297" s="140"/>
      <c r="K297" s="140"/>
      <c r="L297" s="142"/>
    </row>
    <row r="298" spans="1:12" x14ac:dyDescent="0.2">
      <c r="B298" s="83" t="s">
        <v>41</v>
      </c>
      <c r="C298" s="33"/>
      <c r="D298" s="34">
        <v>441383.37</v>
      </c>
      <c r="E298" s="34">
        <v>440967.87</v>
      </c>
      <c r="F298" s="34">
        <v>415.5</v>
      </c>
      <c r="G298" s="34">
        <v>210903.16999999998</v>
      </c>
      <c r="H298" s="34">
        <v>230064.69999999998</v>
      </c>
      <c r="I298" s="131">
        <v>0.98721542860642797</v>
      </c>
      <c r="J298" s="34">
        <v>227099.7282474227</v>
      </c>
      <c r="L298" s="33"/>
    </row>
    <row r="299" spans="1:12" ht="11.25" customHeight="1" x14ac:dyDescent="0.2">
      <c r="C299" s="33"/>
      <c r="L299" s="33"/>
    </row>
    <row r="300" spans="1:12" x14ac:dyDescent="0.2">
      <c r="A300" s="32" t="s">
        <v>225</v>
      </c>
      <c r="B300" s="32"/>
      <c r="C300" s="33"/>
      <c r="L300" s="33"/>
    </row>
    <row r="301" spans="1:12" x14ac:dyDescent="0.2">
      <c r="A301" s="72"/>
      <c r="B301" s="32" t="s">
        <v>226</v>
      </c>
      <c r="C301" s="33"/>
      <c r="L301" s="33"/>
    </row>
    <row r="302" spans="1:12" ht="12.75" customHeight="1" x14ac:dyDescent="0.2">
      <c r="A302" s="72"/>
      <c r="B302" s="63" t="s">
        <v>375</v>
      </c>
      <c r="C302" s="3"/>
      <c r="D302" s="38">
        <v>5</v>
      </c>
      <c r="E302" s="38">
        <v>5</v>
      </c>
      <c r="F302" s="38">
        <v>0</v>
      </c>
      <c r="G302" s="38">
        <v>2</v>
      </c>
      <c r="H302" s="38">
        <v>3</v>
      </c>
      <c r="I302" s="39">
        <v>0.75313450300243978</v>
      </c>
      <c r="J302" s="38">
        <v>2</v>
      </c>
      <c r="K302" s="40"/>
      <c r="L302" s="38" t="s">
        <v>227</v>
      </c>
    </row>
    <row r="303" spans="1:12" x14ac:dyDescent="0.2">
      <c r="A303" s="72"/>
      <c r="B303" s="63" t="s">
        <v>228</v>
      </c>
      <c r="C303" s="3" t="s">
        <v>229</v>
      </c>
      <c r="D303" s="38">
        <v>12287</v>
      </c>
      <c r="E303" s="38">
        <v>12276</v>
      </c>
      <c r="F303" s="38">
        <v>11</v>
      </c>
      <c r="G303" s="38">
        <v>6435</v>
      </c>
      <c r="H303" s="38">
        <v>5841</v>
      </c>
      <c r="I303" s="39">
        <v>0.5400516795865633</v>
      </c>
      <c r="J303" s="38">
        <v>3154</v>
      </c>
      <c r="K303" s="40"/>
      <c r="L303" s="38"/>
    </row>
    <row r="304" spans="1:12" x14ac:dyDescent="0.2">
      <c r="A304" s="72"/>
      <c r="B304" s="118" t="s">
        <v>230</v>
      </c>
      <c r="C304" s="64" t="s">
        <v>231</v>
      </c>
      <c r="D304" s="65">
        <v>32278</v>
      </c>
      <c r="E304" s="65">
        <v>32032</v>
      </c>
      <c r="F304" s="65">
        <v>246</v>
      </c>
      <c r="G304" s="65">
        <v>11993</v>
      </c>
      <c r="H304" s="65">
        <v>20039</v>
      </c>
      <c r="I304" s="66">
        <v>0.85575048732943471</v>
      </c>
      <c r="J304" s="65">
        <v>17148</v>
      </c>
      <c r="K304" s="51"/>
      <c r="L304" s="65"/>
    </row>
    <row r="305" spans="1:12" x14ac:dyDescent="0.2">
      <c r="B305" s="1" t="s">
        <v>22</v>
      </c>
      <c r="C305" s="84"/>
      <c r="D305" s="85">
        <v>44570</v>
      </c>
      <c r="E305" s="85">
        <v>44313</v>
      </c>
      <c r="F305" s="85">
        <v>257</v>
      </c>
      <c r="G305" s="85">
        <v>18430</v>
      </c>
      <c r="H305" s="85">
        <v>25883</v>
      </c>
      <c r="I305" s="131">
        <v>0.78445311594482869</v>
      </c>
      <c r="J305" s="85">
        <v>20304</v>
      </c>
      <c r="K305" s="72"/>
      <c r="L305" s="84"/>
    </row>
    <row r="306" spans="1:12" ht="11.25" customHeight="1" x14ac:dyDescent="0.2">
      <c r="C306" s="33"/>
      <c r="L306" s="33"/>
    </row>
    <row r="307" spans="1:12" x14ac:dyDescent="0.2">
      <c r="A307" s="133"/>
      <c r="B307" s="102" t="s">
        <v>232</v>
      </c>
      <c r="C307" s="33"/>
      <c r="L307" s="33"/>
    </row>
    <row r="308" spans="1:12" hidden="1" x14ac:dyDescent="0.2">
      <c r="B308" s="2" t="s">
        <v>233</v>
      </c>
      <c r="C308" s="33"/>
      <c r="D308" s="34">
        <v>0</v>
      </c>
      <c r="E308" s="34">
        <v>0</v>
      </c>
      <c r="L308" s="33"/>
    </row>
    <row r="309" spans="1:12" ht="11.4" hidden="1" x14ac:dyDescent="0.2">
      <c r="B309" s="2" t="s">
        <v>376</v>
      </c>
      <c r="C309" s="3"/>
      <c r="D309" s="38">
        <v>0</v>
      </c>
      <c r="E309" s="38">
        <v>0</v>
      </c>
      <c r="F309" s="91"/>
      <c r="G309" s="91"/>
      <c r="H309" s="91"/>
      <c r="I309" s="92"/>
      <c r="J309" s="91"/>
      <c r="K309" s="40"/>
      <c r="L309" s="34"/>
    </row>
    <row r="310" spans="1:12" x14ac:dyDescent="0.2">
      <c r="B310" s="2" t="s">
        <v>234</v>
      </c>
      <c r="C310" s="3"/>
      <c r="D310" s="38">
        <v>3</v>
      </c>
      <c r="E310" s="38">
        <v>3</v>
      </c>
      <c r="F310" s="91">
        <v>0</v>
      </c>
      <c r="G310" s="91">
        <v>1</v>
      </c>
      <c r="H310" s="91">
        <v>2</v>
      </c>
      <c r="I310" s="92">
        <v>0.99002072988477996</v>
      </c>
      <c r="J310" s="91">
        <v>2</v>
      </c>
      <c r="K310" s="40"/>
      <c r="L310" s="34" t="s">
        <v>235</v>
      </c>
    </row>
    <row r="311" spans="1:12" x14ac:dyDescent="0.2">
      <c r="B311" s="132" t="s">
        <v>236</v>
      </c>
      <c r="C311" s="3"/>
      <c r="D311" s="38">
        <v>0</v>
      </c>
      <c r="E311" s="38">
        <v>0</v>
      </c>
      <c r="F311" s="91">
        <v>0</v>
      </c>
      <c r="G311" s="91">
        <v>0</v>
      </c>
      <c r="H311" s="91">
        <v>0</v>
      </c>
      <c r="I311" s="92">
        <v>0</v>
      </c>
      <c r="J311" s="91">
        <v>0</v>
      </c>
      <c r="K311" s="40"/>
      <c r="L311" s="33"/>
    </row>
    <row r="312" spans="1:12" x14ac:dyDescent="0.2">
      <c r="B312" s="2" t="s">
        <v>237</v>
      </c>
      <c r="C312" s="109" t="s">
        <v>238</v>
      </c>
      <c r="D312" s="38">
        <v>250213</v>
      </c>
      <c r="E312" s="38">
        <v>250123</v>
      </c>
      <c r="F312" s="91">
        <v>90</v>
      </c>
      <c r="G312" s="91">
        <v>116933</v>
      </c>
      <c r="H312" s="91">
        <v>133190</v>
      </c>
      <c r="I312" s="66">
        <v>0.99002072988477996</v>
      </c>
      <c r="J312" s="91">
        <v>131836</v>
      </c>
      <c r="K312" s="2"/>
      <c r="L312" s="33"/>
    </row>
    <row r="313" spans="1:12" hidden="1" x14ac:dyDescent="0.2">
      <c r="B313" s="2" t="s">
        <v>239</v>
      </c>
      <c r="C313" s="96"/>
      <c r="D313" s="34">
        <v>0</v>
      </c>
      <c r="E313" s="34">
        <v>0</v>
      </c>
      <c r="F313" s="46"/>
      <c r="G313" s="46"/>
      <c r="H313" s="46"/>
      <c r="I313" s="47"/>
      <c r="J313" s="46"/>
      <c r="K313" s="135"/>
      <c r="L313" s="96"/>
    </row>
    <row r="314" spans="1:12" hidden="1" x14ac:dyDescent="0.2">
      <c r="B314" s="2" t="s">
        <v>240</v>
      </c>
      <c r="C314" s="33"/>
      <c r="D314" s="34">
        <v>0</v>
      </c>
      <c r="E314" s="34">
        <v>0</v>
      </c>
      <c r="F314" s="46"/>
      <c r="G314" s="46"/>
      <c r="H314" s="46"/>
      <c r="I314" s="47"/>
      <c r="J314" s="46"/>
      <c r="L314" s="33"/>
    </row>
    <row r="315" spans="1:12" hidden="1" x14ac:dyDescent="0.2">
      <c r="B315" s="2" t="s">
        <v>241</v>
      </c>
      <c r="C315" s="33"/>
      <c r="D315" s="34">
        <v>0</v>
      </c>
      <c r="E315" s="34">
        <v>0</v>
      </c>
      <c r="I315" s="50"/>
      <c r="L315" s="33"/>
    </row>
    <row r="316" spans="1:12" x14ac:dyDescent="0.2">
      <c r="B316" s="1" t="s">
        <v>22</v>
      </c>
      <c r="C316" s="53"/>
      <c r="D316" s="54">
        <v>250216</v>
      </c>
      <c r="E316" s="54">
        <v>250126</v>
      </c>
      <c r="F316" s="54">
        <v>90</v>
      </c>
      <c r="G316" s="54">
        <v>116934</v>
      </c>
      <c r="H316" s="54">
        <v>133192</v>
      </c>
      <c r="I316" s="131">
        <v>0.99002005001239046</v>
      </c>
      <c r="J316" s="54">
        <v>131838</v>
      </c>
      <c r="K316" s="56"/>
      <c r="L316" s="53"/>
    </row>
    <row r="317" spans="1:12" x14ac:dyDescent="0.2">
      <c r="B317" s="1"/>
      <c r="C317" s="33"/>
      <c r="L317" s="33"/>
    </row>
    <row r="318" spans="1:12" ht="12.75" customHeight="1" x14ac:dyDescent="0.2">
      <c r="B318" s="102" t="s">
        <v>377</v>
      </c>
      <c r="C318" s="33"/>
      <c r="L318" s="33"/>
    </row>
    <row r="319" spans="1:12" x14ac:dyDescent="0.2">
      <c r="B319" s="2" t="s">
        <v>242</v>
      </c>
      <c r="C319" s="64"/>
      <c r="D319" s="65">
        <v>33</v>
      </c>
      <c r="E319" s="65">
        <v>33</v>
      </c>
      <c r="F319" s="65">
        <v>0</v>
      </c>
      <c r="G319" s="65">
        <v>15</v>
      </c>
      <c r="H319" s="65">
        <v>18</v>
      </c>
      <c r="I319" s="66">
        <v>0.99002072988477996</v>
      </c>
      <c r="J319" s="65">
        <v>18</v>
      </c>
      <c r="K319" s="65"/>
      <c r="L319" s="49" t="s">
        <v>235</v>
      </c>
    </row>
    <row r="320" spans="1:12" x14ac:dyDescent="0.2">
      <c r="B320" s="1" t="s">
        <v>22</v>
      </c>
      <c r="C320" s="33"/>
      <c r="D320" s="34">
        <v>33</v>
      </c>
      <c r="E320" s="34">
        <v>33</v>
      </c>
      <c r="F320" s="34">
        <v>0</v>
      </c>
      <c r="G320" s="34">
        <v>15</v>
      </c>
      <c r="H320" s="34">
        <v>18</v>
      </c>
      <c r="I320" s="131">
        <v>1</v>
      </c>
      <c r="J320" s="34">
        <v>18</v>
      </c>
      <c r="L320" s="33"/>
    </row>
    <row r="321" spans="1:12" x14ac:dyDescent="0.2">
      <c r="C321" s="33"/>
      <c r="L321" s="33"/>
    </row>
    <row r="322" spans="1:12" ht="4.05" customHeight="1" x14ac:dyDescent="0.2">
      <c r="B322" s="72"/>
      <c r="C322" s="78"/>
      <c r="D322" s="79"/>
      <c r="E322" s="79"/>
      <c r="F322" s="79"/>
      <c r="G322" s="79"/>
      <c r="H322" s="79"/>
      <c r="I322" s="80"/>
      <c r="J322" s="79"/>
      <c r="K322" s="81"/>
      <c r="L322" s="82"/>
    </row>
    <row r="323" spans="1:12" x14ac:dyDescent="0.2">
      <c r="B323" s="83" t="s">
        <v>41</v>
      </c>
      <c r="C323" s="84"/>
      <c r="D323" s="85">
        <v>294819</v>
      </c>
      <c r="E323" s="85">
        <v>294472</v>
      </c>
      <c r="F323" s="85">
        <v>347</v>
      </c>
      <c r="G323" s="85">
        <v>135379</v>
      </c>
      <c r="H323" s="85">
        <v>159093</v>
      </c>
      <c r="I323" s="117">
        <v>0.95657203208690622</v>
      </c>
      <c r="J323" s="85">
        <v>152160</v>
      </c>
      <c r="K323" s="72"/>
      <c r="L323" s="84"/>
    </row>
    <row r="324" spans="1:12" ht="11.25" customHeight="1" x14ac:dyDescent="0.2">
      <c r="C324" s="33"/>
      <c r="L324" s="33"/>
    </row>
    <row r="325" spans="1:12" ht="13.2" x14ac:dyDescent="0.25">
      <c r="A325" s="143" t="s">
        <v>243</v>
      </c>
      <c r="B325" s="28"/>
      <c r="C325" s="33"/>
      <c r="L325" s="33"/>
    </row>
    <row r="326" spans="1:12" x14ac:dyDescent="0.2">
      <c r="B326" s="143" t="s">
        <v>244</v>
      </c>
      <c r="C326" s="33"/>
      <c r="L326" s="33"/>
    </row>
    <row r="327" spans="1:12" x14ac:dyDescent="0.2">
      <c r="B327" s="135" t="s">
        <v>245</v>
      </c>
      <c r="C327" s="3"/>
      <c r="D327" s="38">
        <v>19366</v>
      </c>
      <c r="E327" s="38">
        <v>19366</v>
      </c>
      <c r="F327" s="38">
        <v>0</v>
      </c>
      <c r="G327" s="38">
        <v>9879</v>
      </c>
      <c r="H327" s="38">
        <v>9487</v>
      </c>
      <c r="I327" s="39">
        <v>0.95845566638281199</v>
      </c>
      <c r="J327" s="38">
        <v>9093</v>
      </c>
      <c r="K327" s="38"/>
      <c r="L327" s="73" t="s">
        <v>402</v>
      </c>
    </row>
    <row r="328" spans="1:12" x14ac:dyDescent="0.2">
      <c r="B328" s="135" t="s">
        <v>246</v>
      </c>
      <c r="C328" s="3"/>
      <c r="D328" s="38">
        <v>0</v>
      </c>
      <c r="E328" s="38">
        <v>0</v>
      </c>
      <c r="F328" s="38">
        <v>0</v>
      </c>
      <c r="G328" s="38">
        <v>0</v>
      </c>
      <c r="H328" s="38">
        <v>0</v>
      </c>
      <c r="I328" s="39">
        <v>0</v>
      </c>
      <c r="J328" s="38">
        <v>0</v>
      </c>
      <c r="K328" s="38"/>
      <c r="L328" s="73"/>
    </row>
    <row r="329" spans="1:12" x14ac:dyDescent="0.2">
      <c r="B329" s="135" t="s">
        <v>247</v>
      </c>
      <c r="C329" s="3"/>
      <c r="D329" s="38">
        <v>228</v>
      </c>
      <c r="E329" s="38">
        <v>228</v>
      </c>
      <c r="F329" s="38">
        <v>0</v>
      </c>
      <c r="G329" s="38">
        <v>116</v>
      </c>
      <c r="H329" s="38">
        <v>112</v>
      </c>
      <c r="I329" s="39">
        <v>0.95845566638281199</v>
      </c>
      <c r="J329" s="38">
        <v>107</v>
      </c>
      <c r="K329" s="38"/>
      <c r="L329" s="73" t="s">
        <v>402</v>
      </c>
    </row>
    <row r="330" spans="1:12" x14ac:dyDescent="0.2">
      <c r="B330" s="135" t="s">
        <v>248</v>
      </c>
      <c r="C330" s="3" t="s">
        <v>249</v>
      </c>
      <c r="D330" s="38">
        <v>1611</v>
      </c>
      <c r="E330" s="38">
        <v>1611</v>
      </c>
      <c r="F330" s="38">
        <v>0</v>
      </c>
      <c r="G330" s="38">
        <v>901</v>
      </c>
      <c r="H330" s="38">
        <v>710</v>
      </c>
      <c r="I330" s="39">
        <v>0.85014005602240894</v>
      </c>
      <c r="J330" s="38">
        <v>602</v>
      </c>
      <c r="L330" s="144"/>
    </row>
    <row r="331" spans="1:12" hidden="1" x14ac:dyDescent="0.2">
      <c r="A331" s="41"/>
      <c r="B331" s="135" t="s">
        <v>250</v>
      </c>
      <c r="C331" s="3"/>
      <c r="D331" s="38">
        <v>0</v>
      </c>
      <c r="E331" s="38">
        <v>0</v>
      </c>
      <c r="F331" s="38"/>
      <c r="G331" s="38"/>
      <c r="H331" s="38"/>
      <c r="I331" s="39"/>
      <c r="J331" s="38"/>
      <c r="K331" s="38"/>
      <c r="L331" s="73"/>
    </row>
    <row r="332" spans="1:12" x14ac:dyDescent="0.2">
      <c r="A332" s="41"/>
      <c r="B332" s="135" t="s">
        <v>251</v>
      </c>
      <c r="C332" s="109" t="s">
        <v>252</v>
      </c>
      <c r="D332" s="38">
        <v>794</v>
      </c>
      <c r="E332" s="38">
        <v>794</v>
      </c>
      <c r="F332" s="38">
        <v>0</v>
      </c>
      <c r="G332" s="38">
        <v>350</v>
      </c>
      <c r="H332" s="38">
        <v>444</v>
      </c>
      <c r="I332" s="39">
        <v>0.7857142857142857</v>
      </c>
      <c r="J332" s="38">
        <v>349</v>
      </c>
      <c r="K332" s="38"/>
      <c r="L332" s="73"/>
    </row>
    <row r="333" spans="1:12" ht="12.75" customHeight="1" x14ac:dyDescent="0.2">
      <c r="A333" s="41"/>
      <c r="B333" s="135" t="s">
        <v>253</v>
      </c>
      <c r="C333" s="109" t="s">
        <v>252</v>
      </c>
      <c r="D333" s="38">
        <v>314</v>
      </c>
      <c r="E333" s="38">
        <v>314</v>
      </c>
      <c r="F333" s="38">
        <v>0</v>
      </c>
      <c r="G333" s="38">
        <v>130</v>
      </c>
      <c r="H333" s="38">
        <v>184</v>
      </c>
      <c r="I333" s="39">
        <v>0.83149350649350662</v>
      </c>
      <c r="J333" s="38">
        <v>153</v>
      </c>
      <c r="K333" s="38"/>
      <c r="L333" s="73"/>
    </row>
    <row r="334" spans="1:12" ht="12.3" hidden="1" customHeight="1" x14ac:dyDescent="0.2">
      <c r="A334" s="41"/>
      <c r="B334" s="135" t="s">
        <v>378</v>
      </c>
      <c r="C334" s="3"/>
      <c r="D334" s="38">
        <v>0</v>
      </c>
      <c r="E334" s="38">
        <v>0</v>
      </c>
      <c r="F334" s="38"/>
      <c r="G334" s="38"/>
      <c r="H334" s="38"/>
      <c r="I334" s="39"/>
      <c r="J334" s="38"/>
      <c r="K334" s="38"/>
      <c r="L334" s="73"/>
    </row>
    <row r="335" spans="1:12" x14ac:dyDescent="0.2">
      <c r="A335" s="41"/>
      <c r="B335" s="135" t="s">
        <v>254</v>
      </c>
      <c r="C335" s="3" t="s">
        <v>255</v>
      </c>
      <c r="D335" s="38">
        <v>1945</v>
      </c>
      <c r="E335" s="38">
        <v>1945</v>
      </c>
      <c r="F335" s="38">
        <v>0</v>
      </c>
      <c r="G335" s="38">
        <v>966</v>
      </c>
      <c r="H335" s="38">
        <v>979</v>
      </c>
      <c r="I335" s="39">
        <v>0.95707656612529002</v>
      </c>
      <c r="J335" s="38">
        <v>937</v>
      </c>
      <c r="K335" s="38"/>
      <c r="L335" s="73"/>
    </row>
    <row r="336" spans="1:12" x14ac:dyDescent="0.2">
      <c r="A336" s="41"/>
      <c r="B336" s="135" t="s">
        <v>256</v>
      </c>
      <c r="C336" s="3"/>
      <c r="D336" s="38">
        <v>62535</v>
      </c>
      <c r="E336" s="38">
        <v>62535</v>
      </c>
      <c r="F336" s="38">
        <v>0</v>
      </c>
      <c r="G336" s="38">
        <v>31901</v>
      </c>
      <c r="H336" s="38">
        <v>30634</v>
      </c>
      <c r="I336" s="39">
        <v>0.95845566638281199</v>
      </c>
      <c r="J336" s="38">
        <v>29361</v>
      </c>
      <c r="K336" s="38"/>
      <c r="L336" s="91" t="s">
        <v>402</v>
      </c>
    </row>
    <row r="337" spans="1:12" x14ac:dyDescent="0.2">
      <c r="A337" s="41"/>
      <c r="B337" s="48" t="s">
        <v>257</v>
      </c>
      <c r="C337" s="38" t="s">
        <v>258</v>
      </c>
      <c r="D337" s="38">
        <v>16468</v>
      </c>
      <c r="E337" s="38">
        <v>16468</v>
      </c>
      <c r="F337" s="38">
        <v>0</v>
      </c>
      <c r="G337" s="38">
        <v>8476</v>
      </c>
      <c r="H337" s="38">
        <v>7992</v>
      </c>
      <c r="I337" s="39">
        <v>0.93990993526597233</v>
      </c>
      <c r="J337" s="38">
        <v>7512</v>
      </c>
      <c r="K337" s="38"/>
      <c r="L337" s="73"/>
    </row>
    <row r="338" spans="1:12" x14ac:dyDescent="0.2">
      <c r="A338" s="41"/>
      <c r="B338" s="135" t="s">
        <v>259</v>
      </c>
      <c r="C338" s="38"/>
      <c r="D338" s="38">
        <v>22771</v>
      </c>
      <c r="E338" s="38">
        <v>22771</v>
      </c>
      <c r="F338" s="38">
        <v>0</v>
      </c>
      <c r="G338" s="38">
        <v>11738</v>
      </c>
      <c r="H338" s="38">
        <v>11033</v>
      </c>
      <c r="I338" s="39">
        <v>0.57917001016687208</v>
      </c>
      <c r="J338" s="38">
        <v>6390</v>
      </c>
      <c r="K338" s="38"/>
      <c r="L338" s="73" t="s">
        <v>403</v>
      </c>
    </row>
    <row r="339" spans="1:12" x14ac:dyDescent="0.2">
      <c r="A339" s="41"/>
      <c r="B339" s="135" t="s">
        <v>260</v>
      </c>
      <c r="C339" s="3" t="s">
        <v>261</v>
      </c>
      <c r="D339" s="38">
        <v>20096</v>
      </c>
      <c r="E339" s="38">
        <v>20096</v>
      </c>
      <c r="F339" s="38">
        <v>0</v>
      </c>
      <c r="G339" s="38">
        <v>10120</v>
      </c>
      <c r="H339" s="38">
        <v>9976</v>
      </c>
      <c r="I339" s="39">
        <v>0.75494519848756125</v>
      </c>
      <c r="J339" s="38">
        <v>7531</v>
      </c>
      <c r="K339" s="38"/>
      <c r="L339" s="73"/>
    </row>
    <row r="340" spans="1:12" hidden="1" x14ac:dyDescent="0.2">
      <c r="A340" s="41"/>
      <c r="B340" s="135" t="s">
        <v>262</v>
      </c>
      <c r="C340" s="3"/>
      <c r="D340" s="38">
        <v>0</v>
      </c>
      <c r="E340" s="38">
        <v>0</v>
      </c>
      <c r="F340" s="38"/>
      <c r="G340" s="38"/>
      <c r="H340" s="38"/>
      <c r="I340" s="39"/>
      <c r="J340" s="38"/>
      <c r="L340" s="144"/>
    </row>
    <row r="341" spans="1:12" x14ac:dyDescent="0.2">
      <c r="A341" s="41"/>
      <c r="B341" s="135" t="s">
        <v>263</v>
      </c>
      <c r="C341" s="3" t="s">
        <v>258</v>
      </c>
      <c r="D341" s="38">
        <v>13733</v>
      </c>
      <c r="E341" s="38">
        <v>13733</v>
      </c>
      <c r="F341" s="38">
        <v>0</v>
      </c>
      <c r="G341" s="38">
        <v>7138</v>
      </c>
      <c r="H341" s="38">
        <v>6595</v>
      </c>
      <c r="I341" s="39">
        <v>0.98079512647080214</v>
      </c>
      <c r="J341" s="38">
        <v>6468</v>
      </c>
      <c r="K341" s="38"/>
      <c r="L341" s="73"/>
    </row>
    <row r="342" spans="1:12" x14ac:dyDescent="0.2">
      <c r="A342" s="41"/>
      <c r="B342" s="135" t="s">
        <v>264</v>
      </c>
      <c r="C342" s="3"/>
      <c r="D342" s="38">
        <v>16226</v>
      </c>
      <c r="E342" s="38">
        <v>16226</v>
      </c>
      <c r="F342" s="38">
        <v>0</v>
      </c>
      <c r="G342" s="38">
        <v>8319</v>
      </c>
      <c r="H342" s="38">
        <v>7907</v>
      </c>
      <c r="I342" s="39">
        <v>0.66642930378842558</v>
      </c>
      <c r="J342" s="38">
        <v>5269</v>
      </c>
      <c r="K342" s="38"/>
      <c r="L342" s="73" t="s">
        <v>404</v>
      </c>
    </row>
    <row r="343" spans="1:12" x14ac:dyDescent="0.2">
      <c r="A343" s="41"/>
      <c r="B343" s="135" t="s">
        <v>265</v>
      </c>
      <c r="C343" s="3" t="s">
        <v>252</v>
      </c>
      <c r="D343" s="38">
        <v>310</v>
      </c>
      <c r="E343" s="38">
        <v>310</v>
      </c>
      <c r="F343" s="38">
        <v>0</v>
      </c>
      <c r="G343" s="38">
        <v>159</v>
      </c>
      <c r="H343" s="38">
        <v>151</v>
      </c>
      <c r="I343" s="39">
        <v>0.86250000000000004</v>
      </c>
      <c r="J343" s="38">
        <v>130</v>
      </c>
      <c r="K343" s="38"/>
      <c r="L343" s="73"/>
    </row>
    <row r="344" spans="1:12" x14ac:dyDescent="0.2">
      <c r="A344" s="41"/>
      <c r="B344" s="135" t="s">
        <v>266</v>
      </c>
      <c r="C344" s="87" t="s">
        <v>267</v>
      </c>
      <c r="D344" s="38">
        <v>7335</v>
      </c>
      <c r="E344" s="38">
        <v>7335</v>
      </c>
      <c r="F344" s="38">
        <v>0</v>
      </c>
      <c r="G344" s="38">
        <v>3742</v>
      </c>
      <c r="H344" s="38">
        <v>3593</v>
      </c>
      <c r="I344" s="39">
        <v>0.98452718501476333</v>
      </c>
      <c r="J344" s="38">
        <v>3537</v>
      </c>
      <c r="K344" s="87"/>
      <c r="L344" s="145"/>
    </row>
    <row r="345" spans="1:12" ht="12" customHeight="1" x14ac:dyDescent="0.2">
      <c r="A345" s="41"/>
      <c r="B345" s="135" t="s">
        <v>268</v>
      </c>
      <c r="C345" s="3"/>
      <c r="D345" s="38">
        <v>0</v>
      </c>
      <c r="E345" s="38">
        <v>0</v>
      </c>
      <c r="F345" s="38">
        <v>0</v>
      </c>
      <c r="G345" s="38">
        <v>0</v>
      </c>
      <c r="H345" s="38">
        <v>0</v>
      </c>
      <c r="I345" s="71" t="s">
        <v>32</v>
      </c>
      <c r="J345" s="38">
        <v>0</v>
      </c>
      <c r="L345" s="144"/>
    </row>
    <row r="346" spans="1:12" x14ac:dyDescent="0.2">
      <c r="A346" s="41"/>
      <c r="B346" s="135" t="s">
        <v>269</v>
      </c>
      <c r="C346" s="3" t="s">
        <v>270</v>
      </c>
      <c r="D346" s="38">
        <v>3165</v>
      </c>
      <c r="E346" s="38">
        <v>3165</v>
      </c>
      <c r="F346" s="38">
        <v>0</v>
      </c>
      <c r="G346" s="38">
        <v>1677</v>
      </c>
      <c r="H346" s="38">
        <v>1488</v>
      </c>
      <c r="I346" s="39">
        <v>0.76782849503437745</v>
      </c>
      <c r="J346" s="38">
        <v>1142.5288006111537</v>
      </c>
      <c r="K346" s="38"/>
      <c r="L346" s="73"/>
    </row>
    <row r="347" spans="1:12" ht="12.75" customHeight="1" x14ac:dyDescent="0.2">
      <c r="A347" s="41"/>
      <c r="B347" s="135" t="s">
        <v>271</v>
      </c>
      <c r="C347" s="3"/>
      <c r="D347" s="38">
        <v>4024</v>
      </c>
      <c r="E347" s="38">
        <v>4024</v>
      </c>
      <c r="F347" s="38">
        <v>0</v>
      </c>
      <c r="G347" s="38">
        <v>2053</v>
      </c>
      <c r="H347" s="38">
        <v>1971</v>
      </c>
      <c r="I347" s="39">
        <v>0.95845566638281199</v>
      </c>
      <c r="J347" s="38">
        <v>1889</v>
      </c>
      <c r="K347" s="38"/>
      <c r="L347" s="73" t="s">
        <v>402</v>
      </c>
    </row>
    <row r="348" spans="1:12" x14ac:dyDescent="0.2">
      <c r="A348" s="41"/>
      <c r="B348" s="135" t="s">
        <v>272</v>
      </c>
      <c r="C348" s="3"/>
      <c r="D348" s="38">
        <v>0</v>
      </c>
      <c r="E348" s="38">
        <v>0</v>
      </c>
      <c r="F348" s="38">
        <v>0</v>
      </c>
      <c r="G348" s="38">
        <v>0</v>
      </c>
      <c r="H348" s="38">
        <v>0</v>
      </c>
      <c r="I348" s="71" t="s">
        <v>32</v>
      </c>
      <c r="J348" s="38">
        <v>0</v>
      </c>
      <c r="L348" s="144"/>
    </row>
    <row r="349" spans="1:12" x14ac:dyDescent="0.2">
      <c r="A349" s="41"/>
      <c r="B349" s="135" t="s">
        <v>148</v>
      </c>
      <c r="C349" s="87"/>
      <c r="D349" s="38">
        <v>2762</v>
      </c>
      <c r="E349" s="38">
        <v>2762</v>
      </c>
      <c r="F349" s="38">
        <v>0</v>
      </c>
      <c r="G349" s="38">
        <v>1409</v>
      </c>
      <c r="H349" s="38">
        <v>1353</v>
      </c>
      <c r="I349" s="39">
        <v>0.95845566638281199</v>
      </c>
      <c r="J349" s="38">
        <v>1297</v>
      </c>
      <c r="K349" s="146"/>
      <c r="L349" s="145" t="s">
        <v>402</v>
      </c>
    </row>
    <row r="350" spans="1:12" x14ac:dyDescent="0.2">
      <c r="A350" s="41"/>
      <c r="B350" s="135" t="s">
        <v>273</v>
      </c>
      <c r="C350" s="87" t="s">
        <v>267</v>
      </c>
      <c r="D350" s="38">
        <v>7754</v>
      </c>
      <c r="E350" s="38">
        <v>7754</v>
      </c>
      <c r="F350" s="38">
        <v>0</v>
      </c>
      <c r="G350" s="38">
        <v>3992</v>
      </c>
      <c r="H350" s="38">
        <v>3762</v>
      </c>
      <c r="I350" s="39">
        <v>0.9804435466955288</v>
      </c>
      <c r="J350" s="38">
        <v>3688</v>
      </c>
      <c r="K350" s="87"/>
      <c r="L350" s="145"/>
    </row>
    <row r="351" spans="1:12" x14ac:dyDescent="0.2">
      <c r="A351" s="41"/>
      <c r="B351" s="135" t="s">
        <v>274</v>
      </c>
      <c r="C351" s="87" t="s">
        <v>252</v>
      </c>
      <c r="D351" s="38">
        <v>1774</v>
      </c>
      <c r="E351" s="38">
        <v>1774</v>
      </c>
      <c r="F351" s="38">
        <v>0</v>
      </c>
      <c r="G351" s="38">
        <v>931</v>
      </c>
      <c r="H351" s="38">
        <v>843</v>
      </c>
      <c r="I351" s="39">
        <v>0.96608341529913211</v>
      </c>
      <c r="J351" s="38">
        <v>814</v>
      </c>
      <c r="K351" s="87"/>
      <c r="L351" s="145"/>
    </row>
    <row r="352" spans="1:12" x14ac:dyDescent="0.2">
      <c r="A352" s="41"/>
      <c r="B352" s="135" t="s">
        <v>275</v>
      </c>
      <c r="C352" s="109"/>
      <c r="D352" s="38">
        <v>0</v>
      </c>
      <c r="E352" s="38">
        <v>0</v>
      </c>
      <c r="F352" s="38">
        <v>0</v>
      </c>
      <c r="G352" s="38">
        <v>0</v>
      </c>
      <c r="H352" s="38">
        <v>0</v>
      </c>
      <c r="I352" s="71" t="s">
        <v>32</v>
      </c>
      <c r="J352" s="38">
        <v>0</v>
      </c>
      <c r="K352" s="38"/>
      <c r="L352" s="38"/>
    </row>
    <row r="353" spans="1:15" x14ac:dyDescent="0.2">
      <c r="A353" s="41"/>
      <c r="B353" s="135" t="s">
        <v>276</v>
      </c>
      <c r="C353" s="3"/>
      <c r="D353" s="38">
        <v>160</v>
      </c>
      <c r="E353" s="38">
        <v>160</v>
      </c>
      <c r="F353" s="34">
        <v>0</v>
      </c>
      <c r="G353" s="34">
        <v>82</v>
      </c>
      <c r="H353" s="34">
        <v>78</v>
      </c>
      <c r="I353" s="35">
        <v>0.66642930378842558</v>
      </c>
      <c r="J353" s="34">
        <v>51.981485695497192</v>
      </c>
      <c r="K353" s="42"/>
      <c r="L353" s="147" t="s">
        <v>404</v>
      </c>
    </row>
    <row r="354" spans="1:15" x14ac:dyDescent="0.2">
      <c r="A354" s="41"/>
      <c r="B354" s="135" t="s">
        <v>277</v>
      </c>
      <c r="C354" s="3" t="s">
        <v>278</v>
      </c>
      <c r="D354" s="38">
        <v>10803</v>
      </c>
      <c r="E354" s="38">
        <v>10803</v>
      </c>
      <c r="F354" s="38">
        <v>0</v>
      </c>
      <c r="G354" s="38">
        <v>5411</v>
      </c>
      <c r="H354" s="38">
        <v>5392</v>
      </c>
      <c r="I354" s="39">
        <v>0.95168583135965479</v>
      </c>
      <c r="J354" s="38">
        <v>5131</v>
      </c>
      <c r="K354" s="38"/>
      <c r="L354" s="73"/>
    </row>
    <row r="355" spans="1:15" x14ac:dyDescent="0.2">
      <c r="A355" s="41"/>
      <c r="B355" s="135" t="s">
        <v>279</v>
      </c>
      <c r="C355" s="3" t="s">
        <v>261</v>
      </c>
      <c r="D355" s="38">
        <v>40840</v>
      </c>
      <c r="E355" s="38">
        <v>40840</v>
      </c>
      <c r="F355" s="38">
        <v>0</v>
      </c>
      <c r="G355" s="38">
        <v>21229</v>
      </c>
      <c r="H355" s="38">
        <v>19611</v>
      </c>
      <c r="I355" s="39">
        <v>0.67346650175835965</v>
      </c>
      <c r="J355" s="38">
        <v>13207.351565983192</v>
      </c>
      <c r="K355" s="38"/>
      <c r="L355" s="73"/>
    </row>
    <row r="356" spans="1:15" x14ac:dyDescent="0.2">
      <c r="A356" s="41"/>
      <c r="B356" s="135" t="s">
        <v>280</v>
      </c>
      <c r="C356" s="87" t="s">
        <v>281</v>
      </c>
      <c r="D356" s="38">
        <v>10713</v>
      </c>
      <c r="E356" s="38">
        <v>10713</v>
      </c>
      <c r="F356" s="38">
        <v>0</v>
      </c>
      <c r="G356" s="38">
        <v>5699</v>
      </c>
      <c r="H356" s="38">
        <v>5014</v>
      </c>
      <c r="I356" s="39">
        <v>0.80813735621272409</v>
      </c>
      <c r="J356" s="38">
        <v>4052</v>
      </c>
      <c r="K356" s="87"/>
      <c r="L356" s="145"/>
    </row>
    <row r="357" spans="1:15" x14ac:dyDescent="0.2">
      <c r="A357" s="41"/>
      <c r="B357" s="135" t="s">
        <v>282</v>
      </c>
      <c r="C357" s="3" t="s">
        <v>281</v>
      </c>
      <c r="D357" s="38">
        <v>2792</v>
      </c>
      <c r="E357" s="38">
        <v>2792</v>
      </c>
      <c r="F357" s="38">
        <v>0</v>
      </c>
      <c r="G357" s="38">
        <v>1352</v>
      </c>
      <c r="H357" s="38">
        <v>1440</v>
      </c>
      <c r="I357" s="39">
        <v>0.96290050590219223</v>
      </c>
      <c r="J357" s="38">
        <v>1387</v>
      </c>
      <c r="K357" s="38"/>
      <c r="L357" s="73"/>
    </row>
    <row r="358" spans="1:15" x14ac:dyDescent="0.2">
      <c r="A358" s="41"/>
      <c r="B358" s="135" t="s">
        <v>283</v>
      </c>
      <c r="C358" s="11"/>
      <c r="D358" s="38">
        <v>4463</v>
      </c>
      <c r="E358" s="38">
        <v>4463</v>
      </c>
      <c r="F358" s="91">
        <v>0</v>
      </c>
      <c r="G358" s="91">
        <v>2277</v>
      </c>
      <c r="H358" s="91">
        <v>2186</v>
      </c>
      <c r="I358" s="92">
        <v>0.95845566638281199</v>
      </c>
      <c r="J358" s="91">
        <v>2095</v>
      </c>
      <c r="K358" s="91"/>
      <c r="L358" s="148" t="s">
        <v>402</v>
      </c>
    </row>
    <row r="359" spans="1:15" x14ac:dyDescent="0.2">
      <c r="A359" s="41"/>
      <c r="B359" s="135" t="s">
        <v>284</v>
      </c>
      <c r="C359" s="11" t="s">
        <v>252</v>
      </c>
      <c r="D359" s="38">
        <v>1715</v>
      </c>
      <c r="E359" s="38">
        <v>1715</v>
      </c>
      <c r="F359" s="91">
        <v>0</v>
      </c>
      <c r="G359" s="91">
        <v>722</v>
      </c>
      <c r="H359" s="91">
        <v>993</v>
      </c>
      <c r="I359" s="92">
        <v>0.88804549848732706</v>
      </c>
      <c r="J359" s="91">
        <v>882</v>
      </c>
      <c r="K359" s="91"/>
      <c r="L359" s="148"/>
    </row>
    <row r="360" spans="1:15" x14ac:dyDescent="0.2">
      <c r="A360" s="41"/>
      <c r="B360" s="135" t="s">
        <v>285</v>
      </c>
      <c r="C360" s="11" t="s">
        <v>258</v>
      </c>
      <c r="D360" s="38">
        <v>854</v>
      </c>
      <c r="E360" s="38">
        <v>854</v>
      </c>
      <c r="F360" s="91">
        <v>0</v>
      </c>
      <c r="G360" s="91">
        <v>445</v>
      </c>
      <c r="H360" s="91">
        <v>409</v>
      </c>
      <c r="I360" s="92">
        <v>0.86931818181818177</v>
      </c>
      <c r="J360" s="91">
        <v>356</v>
      </c>
      <c r="K360" s="91"/>
      <c r="L360" s="148"/>
    </row>
    <row r="361" spans="1:15" x14ac:dyDescent="0.2">
      <c r="B361" s="135" t="s">
        <v>286</v>
      </c>
      <c r="C361" s="11" t="s">
        <v>287</v>
      </c>
      <c r="D361" s="38">
        <v>597</v>
      </c>
      <c r="E361" s="38">
        <v>597</v>
      </c>
      <c r="F361" s="91">
        <v>0</v>
      </c>
      <c r="G361" s="91">
        <v>279</v>
      </c>
      <c r="H361" s="91">
        <v>318</v>
      </c>
      <c r="I361" s="92">
        <v>0.88942307692307687</v>
      </c>
      <c r="J361" s="91">
        <v>283</v>
      </c>
      <c r="K361" s="11"/>
      <c r="L361" s="149"/>
    </row>
    <row r="362" spans="1:15" x14ac:dyDescent="0.2">
      <c r="B362" s="135" t="s">
        <v>288</v>
      </c>
      <c r="C362" s="150" t="s">
        <v>289</v>
      </c>
      <c r="D362" s="38">
        <v>3426</v>
      </c>
      <c r="E362" s="38">
        <v>3426</v>
      </c>
      <c r="F362" s="91">
        <v>0</v>
      </c>
      <c r="G362" s="91">
        <v>1760</v>
      </c>
      <c r="H362" s="91">
        <v>1666</v>
      </c>
      <c r="I362" s="92">
        <v>0.96212121212121215</v>
      </c>
      <c r="J362" s="91">
        <v>1603</v>
      </c>
      <c r="K362" s="150"/>
      <c r="L362" s="151"/>
    </row>
    <row r="363" spans="1:15" x14ac:dyDescent="0.2">
      <c r="B363" s="135" t="s">
        <v>290</v>
      </c>
      <c r="C363" s="152" t="s">
        <v>291</v>
      </c>
      <c r="D363" s="38">
        <v>57650</v>
      </c>
      <c r="E363" s="38">
        <v>57650</v>
      </c>
      <c r="F363" s="91">
        <v>0</v>
      </c>
      <c r="G363" s="91">
        <v>29661</v>
      </c>
      <c r="H363" s="91">
        <v>27989</v>
      </c>
      <c r="I363" s="92">
        <v>0.56641786925988669</v>
      </c>
      <c r="J363" s="91">
        <v>15843</v>
      </c>
      <c r="K363" s="152"/>
      <c r="L363" s="153"/>
      <c r="O363" s="38"/>
    </row>
    <row r="364" spans="1:15" ht="11.25" hidden="1" customHeight="1" x14ac:dyDescent="0.2">
      <c r="B364" s="135" t="s">
        <v>292</v>
      </c>
      <c r="C364" s="11"/>
      <c r="D364" s="38">
        <v>0</v>
      </c>
      <c r="E364" s="38">
        <v>0</v>
      </c>
      <c r="F364" s="91"/>
      <c r="G364" s="91"/>
      <c r="H364" s="91"/>
      <c r="I364" s="92"/>
      <c r="J364" s="91"/>
      <c r="K364" s="91"/>
      <c r="L364" s="148"/>
    </row>
    <row r="365" spans="1:15" ht="11.25" customHeight="1" x14ac:dyDescent="0.2">
      <c r="B365" s="135" t="s">
        <v>293</v>
      </c>
      <c r="C365" s="11"/>
      <c r="D365" s="38">
        <v>312</v>
      </c>
      <c r="E365" s="38">
        <v>312</v>
      </c>
      <c r="F365" s="91">
        <v>0</v>
      </c>
      <c r="G365" s="91">
        <v>159</v>
      </c>
      <c r="H365" s="91">
        <v>153</v>
      </c>
      <c r="I365" s="92">
        <v>0.95845566638281199</v>
      </c>
      <c r="J365" s="91">
        <v>147</v>
      </c>
      <c r="K365" s="91"/>
      <c r="L365" s="148" t="s">
        <v>402</v>
      </c>
    </row>
    <row r="366" spans="1:15" x14ac:dyDescent="0.2">
      <c r="B366" s="135" t="s">
        <v>294</v>
      </c>
      <c r="C366" s="150"/>
      <c r="D366" s="38">
        <v>7106</v>
      </c>
      <c r="E366" s="38">
        <v>7106</v>
      </c>
      <c r="F366" s="91">
        <v>0</v>
      </c>
      <c r="G366" s="91">
        <v>3663</v>
      </c>
      <c r="H366" s="91">
        <v>3443</v>
      </c>
      <c r="I366" s="92">
        <v>0.57917001016687208</v>
      </c>
      <c r="J366" s="91">
        <v>1994</v>
      </c>
      <c r="K366" s="150"/>
      <c r="L366" s="151" t="s">
        <v>403</v>
      </c>
      <c r="O366" s="38"/>
    </row>
    <row r="367" spans="1:15" ht="12.75" customHeight="1" x14ac:dyDescent="0.2">
      <c r="B367" s="135" t="s">
        <v>295</v>
      </c>
      <c r="C367" s="3"/>
      <c r="D367" s="38">
        <v>0</v>
      </c>
      <c r="E367" s="38">
        <v>0</v>
      </c>
      <c r="F367" s="38">
        <v>0</v>
      </c>
      <c r="G367" s="38">
        <v>0</v>
      </c>
      <c r="H367" s="38">
        <v>0</v>
      </c>
      <c r="I367" s="71" t="s">
        <v>32</v>
      </c>
      <c r="J367" s="38">
        <v>0</v>
      </c>
      <c r="K367" s="38"/>
      <c r="L367" s="38"/>
      <c r="O367" s="38"/>
    </row>
    <row r="368" spans="1:15" x14ac:dyDescent="0.2">
      <c r="B368" s="135" t="s">
        <v>296</v>
      </c>
      <c r="C368" s="3" t="s">
        <v>297</v>
      </c>
      <c r="D368" s="38">
        <v>17309</v>
      </c>
      <c r="E368" s="38">
        <v>17309</v>
      </c>
      <c r="F368" s="38">
        <v>0</v>
      </c>
      <c r="G368" s="38">
        <v>8597</v>
      </c>
      <c r="H368" s="38">
        <v>8712</v>
      </c>
      <c r="I368" s="39">
        <v>0.48728977058740619</v>
      </c>
      <c r="J368" s="38">
        <v>4245</v>
      </c>
      <c r="K368" s="38"/>
      <c r="L368" s="38"/>
      <c r="O368" s="38"/>
    </row>
    <row r="369" spans="1:16" x14ac:dyDescent="0.2">
      <c r="B369" s="135" t="s">
        <v>298</v>
      </c>
      <c r="C369" s="3" t="s">
        <v>299</v>
      </c>
      <c r="D369" s="38">
        <v>1581</v>
      </c>
      <c r="E369" s="38">
        <v>1581</v>
      </c>
      <c r="F369" s="38">
        <v>0</v>
      </c>
      <c r="G369" s="38">
        <v>823</v>
      </c>
      <c r="H369" s="38">
        <v>758</v>
      </c>
      <c r="I369" s="39">
        <v>0.89128919860627176</v>
      </c>
      <c r="J369" s="38">
        <v>676</v>
      </c>
      <c r="K369" s="38"/>
      <c r="L369" s="38"/>
      <c r="O369" s="38"/>
    </row>
    <row r="370" spans="1:16" ht="12" customHeight="1" x14ac:dyDescent="0.2">
      <c r="B370" s="135" t="s">
        <v>300</v>
      </c>
      <c r="C370" s="154" t="s">
        <v>299</v>
      </c>
      <c r="D370" s="65">
        <v>1830</v>
      </c>
      <c r="E370" s="65">
        <v>1830</v>
      </c>
      <c r="F370" s="65">
        <v>0</v>
      </c>
      <c r="G370" s="65">
        <v>989</v>
      </c>
      <c r="H370" s="65">
        <v>841</v>
      </c>
      <c r="I370" s="66">
        <v>0.94090909090909092</v>
      </c>
      <c r="J370" s="65">
        <v>791</v>
      </c>
      <c r="K370" s="154"/>
      <c r="L370" s="154"/>
      <c r="O370" s="38"/>
      <c r="P370" s="38"/>
    </row>
    <row r="371" spans="1:16" x14ac:dyDescent="0.2">
      <c r="B371" s="1" t="s">
        <v>22</v>
      </c>
      <c r="C371" s="84"/>
      <c r="D371" s="85">
        <v>365362</v>
      </c>
      <c r="E371" s="85">
        <v>365362</v>
      </c>
      <c r="F371" s="85">
        <v>0</v>
      </c>
      <c r="G371" s="85">
        <v>187145</v>
      </c>
      <c r="H371" s="85">
        <v>178217</v>
      </c>
      <c r="I371" s="117">
        <v>0.78012212380981405</v>
      </c>
      <c r="J371" s="85">
        <v>139013.86185228982</v>
      </c>
      <c r="K371" s="72"/>
      <c r="L371" s="84"/>
      <c r="O371" s="38"/>
    </row>
    <row r="372" spans="1:16" x14ac:dyDescent="0.2">
      <c r="C372" s="33"/>
      <c r="L372" s="33"/>
      <c r="O372" s="38"/>
    </row>
    <row r="373" spans="1:16" x14ac:dyDescent="0.2">
      <c r="A373" s="133"/>
      <c r="B373" s="102" t="s">
        <v>301</v>
      </c>
      <c r="C373" s="33"/>
      <c r="L373" s="33"/>
      <c r="O373" s="38"/>
    </row>
    <row r="374" spans="1:16" x14ac:dyDescent="0.2">
      <c r="B374" s="2" t="s">
        <v>269</v>
      </c>
      <c r="C374" s="89" t="s">
        <v>221</v>
      </c>
      <c r="D374" s="38">
        <v>15629</v>
      </c>
      <c r="E374" s="38">
        <v>15629</v>
      </c>
      <c r="F374" s="38">
        <v>0</v>
      </c>
      <c r="G374" s="38">
        <v>7492</v>
      </c>
      <c r="H374" s="38">
        <v>8137</v>
      </c>
      <c r="I374" s="39">
        <v>0.99179677145518985</v>
      </c>
      <c r="J374" s="38">
        <v>8070</v>
      </c>
      <c r="K374" s="88"/>
      <c r="L374" s="89"/>
      <c r="O374" s="38"/>
    </row>
    <row r="375" spans="1:16" x14ac:dyDescent="0.2">
      <c r="B375" s="2" t="s">
        <v>302</v>
      </c>
      <c r="C375" s="89" t="s">
        <v>303</v>
      </c>
      <c r="D375" s="38">
        <v>77244</v>
      </c>
      <c r="E375" s="38">
        <v>77244</v>
      </c>
      <c r="F375" s="38">
        <v>0</v>
      </c>
      <c r="G375" s="38">
        <v>34675</v>
      </c>
      <c r="H375" s="38">
        <v>42569</v>
      </c>
      <c r="I375" s="39">
        <v>0.96522745938630861</v>
      </c>
      <c r="J375" s="38">
        <v>41089</v>
      </c>
      <c r="K375" s="88"/>
      <c r="L375" s="89"/>
      <c r="O375" s="38"/>
    </row>
    <row r="376" spans="1:16" x14ac:dyDescent="0.2">
      <c r="B376" s="2" t="s">
        <v>304</v>
      </c>
      <c r="C376" s="109" t="s">
        <v>221</v>
      </c>
      <c r="D376" s="38">
        <v>156792</v>
      </c>
      <c r="E376" s="38">
        <v>156792</v>
      </c>
      <c r="F376" s="38">
        <v>0</v>
      </c>
      <c r="G376" s="38">
        <v>84370</v>
      </c>
      <c r="H376" s="38">
        <v>72422</v>
      </c>
      <c r="I376" s="39">
        <v>0.99404592803030312</v>
      </c>
      <c r="J376" s="38">
        <v>71991</v>
      </c>
      <c r="K376" s="88"/>
      <c r="L376" s="89"/>
      <c r="O376" s="38"/>
    </row>
    <row r="377" spans="1:16" hidden="1" x14ac:dyDescent="0.2">
      <c r="B377" s="2" t="s">
        <v>305</v>
      </c>
      <c r="C377" s="109"/>
      <c r="D377" s="38">
        <v>0</v>
      </c>
      <c r="E377" s="38">
        <v>0</v>
      </c>
      <c r="F377" s="38"/>
      <c r="G377" s="38"/>
      <c r="H377" s="38"/>
      <c r="I377" s="39"/>
      <c r="J377" s="38"/>
      <c r="K377" s="88"/>
      <c r="L377" s="89"/>
    </row>
    <row r="378" spans="1:16" x14ac:dyDescent="0.2">
      <c r="B378" s="2" t="s">
        <v>306</v>
      </c>
      <c r="C378" s="89" t="s">
        <v>186</v>
      </c>
      <c r="D378" s="38">
        <v>13183</v>
      </c>
      <c r="E378" s="38">
        <v>13183</v>
      </c>
      <c r="F378" s="38">
        <v>0</v>
      </c>
      <c r="G378" s="38">
        <v>5911</v>
      </c>
      <c r="H378" s="38">
        <v>7272</v>
      </c>
      <c r="I378" s="39">
        <v>0.96825044404973359</v>
      </c>
      <c r="J378" s="38">
        <v>7041</v>
      </c>
      <c r="K378" s="88"/>
      <c r="L378" s="89"/>
      <c r="O378" s="38"/>
    </row>
    <row r="379" spans="1:16" hidden="1" x14ac:dyDescent="0.2">
      <c r="B379" s="2" t="s">
        <v>284</v>
      </c>
      <c r="C379" s="89"/>
      <c r="D379" s="38">
        <v>0</v>
      </c>
      <c r="E379" s="38">
        <v>0</v>
      </c>
      <c r="F379" s="38"/>
      <c r="G379" s="38"/>
      <c r="H379" s="38"/>
      <c r="I379" s="39"/>
      <c r="J379" s="38"/>
      <c r="K379" s="88"/>
      <c r="L379" s="89"/>
    </row>
    <row r="380" spans="1:16" hidden="1" x14ac:dyDescent="0.2">
      <c r="B380" s="132" t="s">
        <v>292</v>
      </c>
      <c r="C380" s="89"/>
      <c r="D380" s="38">
        <v>0</v>
      </c>
      <c r="E380" s="38">
        <v>0</v>
      </c>
      <c r="F380" s="38"/>
      <c r="G380" s="38"/>
      <c r="H380" s="38"/>
      <c r="I380" s="39"/>
      <c r="J380" s="38"/>
      <c r="K380" s="88"/>
      <c r="L380" s="89"/>
    </row>
    <row r="381" spans="1:16" x14ac:dyDescent="0.2">
      <c r="B381" s="2" t="s">
        <v>307</v>
      </c>
      <c r="C381" s="103" t="s">
        <v>308</v>
      </c>
      <c r="D381" s="65">
        <v>773394.18974698056</v>
      </c>
      <c r="E381" s="65">
        <v>773376</v>
      </c>
      <c r="F381" s="65">
        <v>18.189746980569655</v>
      </c>
      <c r="G381" s="65">
        <v>377796</v>
      </c>
      <c r="H381" s="65">
        <v>395580</v>
      </c>
      <c r="I381" s="66">
        <v>0.97209999999999996</v>
      </c>
      <c r="J381" s="65">
        <v>375514.45319999999</v>
      </c>
      <c r="K381" s="104"/>
      <c r="L381" s="103"/>
      <c r="O381" s="38"/>
    </row>
    <row r="382" spans="1:16" x14ac:dyDescent="0.2">
      <c r="B382" s="1" t="s">
        <v>22</v>
      </c>
      <c r="C382" s="33"/>
      <c r="D382" s="34">
        <v>1036242.1897469806</v>
      </c>
      <c r="E382" s="34">
        <v>1036224</v>
      </c>
      <c r="F382" s="34">
        <v>18.189746980569655</v>
      </c>
      <c r="G382" s="34">
        <v>510244</v>
      </c>
      <c r="H382" s="34">
        <v>525980</v>
      </c>
      <c r="I382" s="117">
        <v>0.95769686227909234</v>
      </c>
      <c r="J382" s="34">
        <v>503705.45319999999</v>
      </c>
      <c r="L382" s="33"/>
      <c r="O382" s="38"/>
    </row>
    <row r="383" spans="1:16" x14ac:dyDescent="0.2">
      <c r="B383" s="2"/>
      <c r="C383" s="33"/>
      <c r="L383" s="33"/>
      <c r="O383" s="38"/>
    </row>
    <row r="384" spans="1:16" ht="4.05" customHeight="1" x14ac:dyDescent="0.2">
      <c r="B384" s="72"/>
      <c r="C384" s="78"/>
      <c r="D384" s="79"/>
      <c r="E384" s="79"/>
      <c r="F384" s="79"/>
      <c r="G384" s="79"/>
      <c r="H384" s="79"/>
      <c r="I384" s="80"/>
      <c r="J384" s="79"/>
      <c r="K384" s="81"/>
      <c r="L384" s="82"/>
    </row>
    <row r="385" spans="1:12" x14ac:dyDescent="0.2">
      <c r="B385" s="83" t="s">
        <v>41</v>
      </c>
      <c r="C385" s="84"/>
      <c r="D385" s="85">
        <v>1401604.1897469806</v>
      </c>
      <c r="E385" s="85">
        <v>1401586</v>
      </c>
      <c r="F385" s="85">
        <v>18.189746980569655</v>
      </c>
      <c r="G385" s="85">
        <v>697389</v>
      </c>
      <c r="H385" s="85">
        <v>704197</v>
      </c>
      <c r="I385" s="117">
        <v>0.91275909259715937</v>
      </c>
      <c r="J385" s="85">
        <v>642719.31505228975</v>
      </c>
      <c r="K385" s="72"/>
      <c r="L385" s="84"/>
    </row>
    <row r="386" spans="1:12" ht="11.25" customHeight="1" x14ac:dyDescent="0.2">
      <c r="C386" s="33"/>
      <c r="L386" s="33"/>
    </row>
    <row r="387" spans="1:12" x14ac:dyDescent="0.2">
      <c r="A387" s="32" t="s">
        <v>309</v>
      </c>
      <c r="B387" s="32"/>
      <c r="C387" s="33"/>
      <c r="L387" s="33"/>
    </row>
    <row r="388" spans="1:12" x14ac:dyDescent="0.2">
      <c r="A388" s="72"/>
      <c r="B388" s="32" t="s">
        <v>310</v>
      </c>
      <c r="C388" s="33"/>
      <c r="L388" s="33"/>
    </row>
    <row r="389" spans="1:12" x14ac:dyDescent="0.2">
      <c r="A389" s="72"/>
      <c r="B389" s="63" t="s">
        <v>311</v>
      </c>
      <c r="C389" s="3" t="s">
        <v>312</v>
      </c>
      <c r="D389" s="38">
        <v>17641</v>
      </c>
      <c r="E389" s="38">
        <v>17641</v>
      </c>
      <c r="F389" s="38">
        <v>0</v>
      </c>
      <c r="G389" s="38">
        <v>7896</v>
      </c>
      <c r="H389" s="38">
        <v>9745</v>
      </c>
      <c r="I389" s="39">
        <v>0.9974025974025974</v>
      </c>
      <c r="J389" s="38">
        <v>9720</v>
      </c>
      <c r="K389" s="40"/>
      <c r="L389" s="38"/>
    </row>
    <row r="390" spans="1:12" ht="12.75" customHeight="1" x14ac:dyDescent="0.2">
      <c r="A390" s="72"/>
      <c r="B390" s="118" t="s">
        <v>379</v>
      </c>
      <c r="C390" s="3" t="s">
        <v>313</v>
      </c>
      <c r="D390" s="38">
        <v>863</v>
      </c>
      <c r="E390" s="38">
        <v>863</v>
      </c>
      <c r="F390" s="38">
        <v>0</v>
      </c>
      <c r="G390" s="38">
        <v>386</v>
      </c>
      <c r="H390" s="38">
        <v>477</v>
      </c>
      <c r="I390" s="39">
        <v>0.9974025974025974</v>
      </c>
      <c r="J390" s="38">
        <v>476</v>
      </c>
      <c r="K390" s="40"/>
      <c r="L390" s="38" t="s">
        <v>314</v>
      </c>
    </row>
    <row r="391" spans="1:12" hidden="1" x14ac:dyDescent="0.2">
      <c r="A391" s="72"/>
      <c r="B391" s="63" t="s">
        <v>315</v>
      </c>
      <c r="C391" s="33"/>
      <c r="D391" s="34">
        <v>0</v>
      </c>
      <c r="E391" s="34">
        <v>0</v>
      </c>
      <c r="K391" s="2"/>
      <c r="L391" s="33"/>
    </row>
    <row r="392" spans="1:12" ht="12.75" hidden="1" customHeight="1" x14ac:dyDescent="0.2">
      <c r="A392" s="72"/>
      <c r="B392" s="155" t="s">
        <v>380</v>
      </c>
      <c r="C392" s="33"/>
      <c r="D392" s="34">
        <v>0</v>
      </c>
      <c r="E392" s="34">
        <v>0</v>
      </c>
      <c r="K392" s="40"/>
      <c r="L392" s="34"/>
    </row>
    <row r="393" spans="1:12" ht="12.3" hidden="1" customHeight="1" x14ac:dyDescent="0.2">
      <c r="A393" s="72"/>
      <c r="B393" s="118" t="s">
        <v>381</v>
      </c>
      <c r="C393" s="156"/>
      <c r="D393" s="49">
        <v>0</v>
      </c>
      <c r="E393" s="49">
        <v>0</v>
      </c>
      <c r="F393" s="49"/>
      <c r="G393" s="49"/>
      <c r="H393" s="49"/>
      <c r="I393" s="50"/>
      <c r="J393" s="49"/>
      <c r="K393" s="157"/>
      <c r="L393" s="156"/>
    </row>
    <row r="394" spans="1:12" x14ac:dyDescent="0.2">
      <c r="B394" s="83" t="s">
        <v>316</v>
      </c>
      <c r="C394" s="127"/>
      <c r="D394" s="128">
        <v>18504</v>
      </c>
      <c r="E394" s="128">
        <v>18504</v>
      </c>
      <c r="F394" s="128">
        <v>0</v>
      </c>
      <c r="G394" s="128">
        <v>8282</v>
      </c>
      <c r="H394" s="128">
        <v>10222</v>
      </c>
      <c r="I394" s="131">
        <v>0.9974564664449227</v>
      </c>
      <c r="J394" s="128">
        <v>10196</v>
      </c>
      <c r="K394" s="129"/>
      <c r="L394" s="127"/>
    </row>
    <row r="395" spans="1:12" hidden="1" x14ac:dyDescent="0.2">
      <c r="B395" s="83"/>
      <c r="C395" s="84"/>
      <c r="D395" s="85"/>
      <c r="E395" s="85"/>
      <c r="F395" s="85"/>
      <c r="G395" s="85"/>
      <c r="H395" s="85"/>
      <c r="I395" s="117"/>
      <c r="J395" s="85"/>
      <c r="K395" s="72"/>
      <c r="L395" s="84"/>
    </row>
    <row r="396" spans="1:12" ht="12.75" hidden="1" customHeight="1" x14ac:dyDescent="0.2">
      <c r="B396" s="158" t="s">
        <v>382</v>
      </c>
      <c r="C396" s="84"/>
      <c r="D396" s="85"/>
      <c r="E396" s="85"/>
      <c r="F396" s="85"/>
      <c r="G396" s="85"/>
      <c r="H396" s="85"/>
      <c r="I396" s="117"/>
      <c r="J396" s="85"/>
      <c r="K396" s="72"/>
      <c r="L396" s="84"/>
    </row>
    <row r="397" spans="1:12" hidden="1" x14ac:dyDescent="0.2">
      <c r="B397" s="63" t="s">
        <v>317</v>
      </c>
      <c r="C397" s="159"/>
      <c r="D397" s="65">
        <v>0</v>
      </c>
      <c r="E397" s="65">
        <v>0</v>
      </c>
      <c r="F397" s="160"/>
      <c r="G397" s="160"/>
      <c r="H397" s="160"/>
      <c r="I397" s="161"/>
      <c r="J397" s="160"/>
      <c r="K397" s="160"/>
      <c r="L397" s="160"/>
    </row>
    <row r="398" spans="1:12" hidden="1" x14ac:dyDescent="0.2">
      <c r="B398" s="83" t="s">
        <v>316</v>
      </c>
      <c r="C398" s="84"/>
      <c r="D398" s="85">
        <v>0</v>
      </c>
      <c r="E398" s="85">
        <v>0</v>
      </c>
      <c r="F398" s="85">
        <v>0</v>
      </c>
      <c r="G398" s="85">
        <v>0</v>
      </c>
      <c r="H398" s="85">
        <v>0</v>
      </c>
      <c r="I398" s="131">
        <v>0</v>
      </c>
      <c r="J398" s="85">
        <v>0</v>
      </c>
      <c r="K398" s="72"/>
      <c r="L398" s="84"/>
    </row>
    <row r="399" spans="1:12" hidden="1" x14ac:dyDescent="0.2">
      <c r="B399" s="83"/>
      <c r="C399" s="84"/>
      <c r="D399" s="85"/>
      <c r="E399" s="85"/>
      <c r="F399" s="85"/>
      <c r="G399" s="85"/>
      <c r="H399" s="85"/>
      <c r="I399" s="117"/>
      <c r="J399" s="85"/>
      <c r="K399" s="72"/>
      <c r="L399" s="84"/>
    </row>
    <row r="400" spans="1:12" ht="12.75" hidden="1" customHeight="1" x14ac:dyDescent="0.2">
      <c r="B400" s="158" t="s">
        <v>377</v>
      </c>
      <c r="C400" s="84"/>
      <c r="D400" s="85"/>
      <c r="E400" s="85"/>
      <c r="F400" s="85"/>
      <c r="G400" s="85"/>
      <c r="H400" s="85"/>
      <c r="I400" s="117"/>
      <c r="J400" s="85"/>
      <c r="K400" s="72"/>
      <c r="L400" s="84"/>
    </row>
    <row r="401" spans="1:20" hidden="1" x14ac:dyDescent="0.2">
      <c r="B401" s="130" t="s">
        <v>318</v>
      </c>
      <c r="C401" s="72"/>
      <c r="D401" s="38">
        <v>0</v>
      </c>
      <c r="E401" s="38">
        <v>0</v>
      </c>
      <c r="F401" s="162"/>
      <c r="G401" s="162"/>
      <c r="H401" s="162"/>
      <c r="I401" s="163"/>
      <c r="J401" s="162"/>
      <c r="K401" s="162"/>
      <c r="L401" s="85"/>
    </row>
    <row r="402" spans="1:20" hidden="1" x14ac:dyDescent="0.2">
      <c r="B402" s="164" t="s">
        <v>319</v>
      </c>
      <c r="C402" s="84"/>
      <c r="D402" s="34">
        <v>0</v>
      </c>
      <c r="E402" s="34">
        <v>0</v>
      </c>
      <c r="F402" s="85"/>
      <c r="G402" s="85"/>
      <c r="H402" s="85"/>
      <c r="I402" s="117"/>
      <c r="J402" s="85"/>
      <c r="K402" s="72"/>
      <c r="L402" s="72"/>
    </row>
    <row r="403" spans="1:20" ht="11.4" hidden="1" x14ac:dyDescent="0.2">
      <c r="B403" s="165" t="s">
        <v>383</v>
      </c>
      <c r="C403" s="84"/>
      <c r="D403" s="34">
        <v>0</v>
      </c>
      <c r="E403" s="34">
        <v>0</v>
      </c>
      <c r="F403" s="85"/>
      <c r="G403" s="85"/>
      <c r="H403" s="85"/>
      <c r="I403" s="117"/>
      <c r="J403" s="85"/>
      <c r="K403" s="162"/>
      <c r="L403" s="162"/>
    </row>
    <row r="404" spans="1:20" ht="12.3" hidden="1" customHeight="1" x14ac:dyDescent="0.2">
      <c r="B404" s="165" t="s">
        <v>384</v>
      </c>
      <c r="C404" s="84"/>
      <c r="D404" s="34">
        <v>0</v>
      </c>
      <c r="E404" s="34">
        <v>0</v>
      </c>
      <c r="F404" s="85"/>
      <c r="G404" s="85"/>
      <c r="H404" s="85"/>
      <c r="I404" s="117"/>
      <c r="J404" s="85"/>
      <c r="K404" s="162"/>
      <c r="L404" s="162"/>
    </row>
    <row r="405" spans="1:20" ht="12.3" hidden="1" customHeight="1" x14ac:dyDescent="0.2">
      <c r="B405" s="164" t="s">
        <v>320</v>
      </c>
      <c r="C405" s="84"/>
      <c r="D405" s="34">
        <v>0</v>
      </c>
      <c r="E405" s="34">
        <v>0</v>
      </c>
      <c r="F405" s="85"/>
      <c r="G405" s="85"/>
      <c r="H405" s="85"/>
      <c r="I405" s="117"/>
      <c r="J405" s="85"/>
      <c r="K405" s="162"/>
      <c r="L405" s="162"/>
    </row>
    <row r="406" spans="1:20" hidden="1" x14ac:dyDescent="0.2">
      <c r="B406" s="166" t="s">
        <v>22</v>
      </c>
      <c r="C406" s="127"/>
      <c r="D406" s="128">
        <v>0</v>
      </c>
      <c r="E406" s="128">
        <v>0</v>
      </c>
      <c r="F406" s="128">
        <v>0</v>
      </c>
      <c r="G406" s="128">
        <v>0</v>
      </c>
      <c r="H406" s="128">
        <v>0</v>
      </c>
      <c r="I406" s="131">
        <v>0</v>
      </c>
      <c r="J406" s="128">
        <v>0</v>
      </c>
      <c r="K406" s="129"/>
      <c r="L406" s="129"/>
    </row>
    <row r="407" spans="1:20" hidden="1" x14ac:dyDescent="0.2">
      <c r="B407" s="166"/>
      <c r="C407" s="84"/>
      <c r="D407" s="85"/>
      <c r="E407" s="85"/>
      <c r="F407" s="85"/>
      <c r="G407" s="85"/>
      <c r="H407" s="85"/>
      <c r="I407" s="117"/>
      <c r="J407" s="85"/>
      <c r="K407" s="72"/>
      <c r="L407" s="72"/>
    </row>
    <row r="408" spans="1:20" ht="4.05" customHeight="1" x14ac:dyDescent="0.2">
      <c r="B408" s="166"/>
      <c r="C408" s="167"/>
      <c r="D408" s="79"/>
      <c r="E408" s="79"/>
      <c r="F408" s="79"/>
      <c r="G408" s="79"/>
      <c r="H408" s="79"/>
      <c r="I408" s="80"/>
      <c r="J408" s="79"/>
      <c r="K408" s="81"/>
      <c r="L408" s="168"/>
    </row>
    <row r="409" spans="1:20" x14ac:dyDescent="0.2">
      <c r="B409" s="166" t="s">
        <v>41</v>
      </c>
      <c r="C409" s="63"/>
      <c r="D409" s="85">
        <v>18504</v>
      </c>
      <c r="E409" s="85">
        <v>18504</v>
      </c>
      <c r="F409" s="85">
        <v>0</v>
      </c>
      <c r="G409" s="85">
        <v>8282</v>
      </c>
      <c r="H409" s="85">
        <v>10222</v>
      </c>
      <c r="I409" s="117">
        <v>0.9974564664449227</v>
      </c>
      <c r="J409" s="85">
        <v>10196</v>
      </c>
      <c r="K409" s="72"/>
      <c r="L409" s="72"/>
    </row>
    <row r="411" spans="1:20" ht="13.2" x14ac:dyDescent="0.25">
      <c r="A411" s="169"/>
      <c r="B411" s="170"/>
      <c r="C411" s="171"/>
      <c r="D411" s="172"/>
      <c r="E411" s="172"/>
      <c r="F411" s="172"/>
      <c r="G411" s="172"/>
      <c r="H411" s="172"/>
      <c r="I411" s="173"/>
      <c r="J411" s="172"/>
      <c r="K411" s="170"/>
      <c r="L411" s="174"/>
    </row>
    <row r="412" spans="1:20" ht="13.2" x14ac:dyDescent="0.25">
      <c r="A412" s="175" t="s">
        <v>321</v>
      </c>
      <c r="B412" s="176"/>
      <c r="C412" s="176"/>
      <c r="D412" s="177">
        <v>5398766.7797469804</v>
      </c>
      <c r="E412" s="177">
        <v>5382267.7264</v>
      </c>
      <c r="F412" s="177">
        <v>16498.68974698057</v>
      </c>
      <c r="G412" s="177">
        <v>2638009.7960999999</v>
      </c>
      <c r="H412" s="177">
        <v>2744257.9303000001</v>
      </c>
      <c r="I412" s="178">
        <v>0.96054584230002638</v>
      </c>
      <c r="J412" s="177">
        <v>2635797.2781634498</v>
      </c>
      <c r="K412" s="179"/>
      <c r="L412" s="180"/>
      <c r="N412" s="38"/>
      <c r="O412" s="38"/>
      <c r="Q412" s="38"/>
      <c r="R412" s="38"/>
      <c r="S412" s="39"/>
      <c r="T412" s="38"/>
    </row>
    <row r="413" spans="1:20" ht="13.2" x14ac:dyDescent="0.25">
      <c r="A413" s="181"/>
      <c r="B413" s="182"/>
      <c r="C413" s="183"/>
      <c r="D413" s="184"/>
      <c r="E413" s="184"/>
      <c r="F413" s="184"/>
      <c r="G413" s="184"/>
      <c r="H413" s="184"/>
      <c r="I413" s="185"/>
      <c r="J413" s="184"/>
      <c r="K413" s="182"/>
      <c r="L413" s="186"/>
    </row>
    <row r="414" spans="1:20" ht="6" customHeight="1" x14ac:dyDescent="0.3">
      <c r="A414" s="187"/>
      <c r="B414" s="188"/>
    </row>
    <row r="415" spans="1:20" ht="15.75" customHeight="1" x14ac:dyDescent="0.25">
      <c r="A415" s="189" t="s">
        <v>385</v>
      </c>
      <c r="B415" s="188"/>
      <c r="M415" s="190"/>
      <c r="N415" s="190"/>
      <c r="O415" s="190"/>
      <c r="Q415" s="190"/>
      <c r="R415" s="190"/>
    </row>
    <row r="416" spans="1:20" s="72" customFormat="1" ht="12.75" customHeight="1" x14ac:dyDescent="0.25">
      <c r="A416" s="188" t="s">
        <v>386</v>
      </c>
      <c r="F416" s="85"/>
      <c r="G416" s="85"/>
      <c r="H416" s="85"/>
      <c r="I416" s="84"/>
      <c r="J416" s="85"/>
      <c r="M416" s="190"/>
      <c r="N416" s="190"/>
      <c r="O416" s="190"/>
      <c r="P416" s="190"/>
      <c r="Q416" s="190"/>
      <c r="R416" s="190"/>
    </row>
    <row r="417" spans="1:18" s="86" customFormat="1" ht="12.75" customHeight="1" x14ac:dyDescent="0.25">
      <c r="A417" s="191" t="s">
        <v>387</v>
      </c>
      <c r="D417" s="192"/>
      <c r="E417" s="192"/>
      <c r="F417" s="192"/>
      <c r="G417" s="192"/>
      <c r="H417" s="192"/>
      <c r="I417" s="193"/>
      <c r="J417" s="192"/>
      <c r="M417" s="190"/>
      <c r="N417" s="190"/>
      <c r="O417" s="190"/>
      <c r="P417" s="190"/>
      <c r="Q417" s="190"/>
      <c r="R417" s="190"/>
    </row>
    <row r="418" spans="1:18" ht="12.75" customHeight="1" x14ac:dyDescent="0.25">
      <c r="A418" s="194" t="s">
        <v>388</v>
      </c>
      <c r="B418" s="86"/>
      <c r="C418" s="195"/>
      <c r="D418" s="196"/>
      <c r="E418" s="196"/>
      <c r="F418" s="196"/>
      <c r="G418" s="196"/>
      <c r="H418" s="196"/>
      <c r="I418" s="197"/>
      <c r="J418" s="196"/>
      <c r="K418" s="195"/>
      <c r="L418" s="195"/>
      <c r="M418" s="190"/>
      <c r="N418" s="190"/>
      <c r="O418" s="190"/>
      <c r="P418" s="190"/>
      <c r="Q418" s="190"/>
      <c r="R418" s="190"/>
    </row>
    <row r="419" spans="1:18" ht="12.75" customHeight="1" x14ac:dyDescent="0.25">
      <c r="A419" s="198" t="s">
        <v>389</v>
      </c>
      <c r="B419" s="198"/>
      <c r="C419" s="11"/>
      <c r="D419" s="38"/>
      <c r="E419" s="38"/>
      <c r="F419" s="38"/>
      <c r="G419" s="38"/>
      <c r="H419" s="38"/>
      <c r="I419" s="39"/>
      <c r="J419" s="38"/>
      <c r="M419" s="190"/>
      <c r="N419" s="190"/>
      <c r="O419" s="190"/>
      <c r="P419" s="190"/>
      <c r="Q419" s="190"/>
      <c r="R419" s="190"/>
    </row>
    <row r="420" spans="1:18" ht="12.75" customHeight="1" x14ac:dyDescent="0.25">
      <c r="A420" s="198" t="s">
        <v>390</v>
      </c>
      <c r="B420" s="198"/>
      <c r="C420" s="11"/>
      <c r="D420" s="38"/>
      <c r="E420" s="38"/>
      <c r="F420" s="38"/>
      <c r="G420" s="38"/>
      <c r="H420" s="38"/>
      <c r="I420" s="39"/>
      <c r="J420" s="38"/>
      <c r="M420" s="190"/>
      <c r="N420" s="190"/>
      <c r="O420" s="190"/>
      <c r="P420" s="190"/>
      <c r="Q420" s="190"/>
      <c r="R420" s="190"/>
    </row>
    <row r="421" spans="1:18" ht="12.75" customHeight="1" x14ac:dyDescent="0.25">
      <c r="A421" s="198" t="s">
        <v>391</v>
      </c>
      <c r="B421" s="198"/>
      <c r="C421" s="11"/>
      <c r="D421" s="38"/>
      <c r="E421" s="38"/>
      <c r="F421" s="38"/>
      <c r="G421" s="38"/>
      <c r="H421" s="38"/>
      <c r="I421" s="39"/>
      <c r="J421" s="38"/>
      <c r="M421" s="190"/>
      <c r="N421" s="190"/>
      <c r="O421" s="190"/>
      <c r="P421" s="190"/>
      <c r="Q421" s="190"/>
      <c r="R421" s="190"/>
    </row>
    <row r="422" spans="1:18" ht="12.75" customHeight="1" x14ac:dyDescent="0.25">
      <c r="A422" s="211" t="s">
        <v>392</v>
      </c>
      <c r="B422" s="211"/>
      <c r="C422" s="211"/>
      <c r="D422" s="211"/>
      <c r="E422" s="211"/>
      <c r="F422" s="211"/>
      <c r="G422" s="211"/>
      <c r="H422" s="211"/>
      <c r="I422" s="211"/>
      <c r="J422" s="211"/>
      <c r="K422" s="211"/>
      <c r="L422" s="211"/>
      <c r="M422" s="190"/>
      <c r="N422" s="190"/>
      <c r="O422" s="190"/>
      <c r="P422" s="190"/>
      <c r="Q422" s="190"/>
      <c r="R422" s="190"/>
    </row>
    <row r="423" spans="1:18" ht="12.75" customHeight="1" x14ac:dyDescent="0.25">
      <c r="A423" s="212" t="s">
        <v>393</v>
      </c>
      <c r="B423" s="212"/>
      <c r="C423" s="212"/>
      <c r="D423" s="212"/>
      <c r="E423" s="212"/>
      <c r="F423" s="212"/>
      <c r="G423" s="212"/>
      <c r="H423" s="212"/>
      <c r="I423" s="212"/>
      <c r="J423" s="212"/>
      <c r="K423" s="212"/>
      <c r="L423" s="200"/>
      <c r="M423" s="190"/>
      <c r="N423" s="190"/>
      <c r="O423" s="190"/>
      <c r="P423" s="190"/>
      <c r="Q423" s="190"/>
      <c r="R423" s="190"/>
    </row>
    <row r="424" spans="1:18" ht="12.75" customHeight="1" x14ac:dyDescent="0.25">
      <c r="A424" s="201" t="s">
        <v>394</v>
      </c>
      <c r="C424" s="199"/>
      <c r="D424" s="199"/>
      <c r="E424" s="199"/>
      <c r="F424" s="199"/>
      <c r="G424" s="199"/>
      <c r="H424" s="199"/>
      <c r="I424" s="199"/>
      <c r="J424" s="199"/>
      <c r="K424" s="199"/>
      <c r="L424" s="200"/>
      <c r="M424" s="190"/>
      <c r="N424" s="190"/>
      <c r="O424" s="190"/>
      <c r="P424" s="190"/>
      <c r="Q424" s="190"/>
      <c r="R424" s="190"/>
    </row>
    <row r="425" spans="1:18" ht="12.75" customHeight="1" x14ac:dyDescent="0.25">
      <c r="A425" s="212" t="s">
        <v>395</v>
      </c>
      <c r="B425" s="212"/>
      <c r="C425" s="212"/>
      <c r="D425" s="212"/>
      <c r="E425" s="212"/>
      <c r="F425" s="212"/>
      <c r="G425" s="212"/>
      <c r="H425" s="212"/>
      <c r="I425" s="212"/>
      <c r="J425" s="212"/>
      <c r="K425" s="212"/>
      <c r="L425" s="200"/>
      <c r="M425" s="190"/>
      <c r="N425" s="190"/>
      <c r="O425" s="190"/>
      <c r="P425" s="190"/>
      <c r="Q425" s="190"/>
      <c r="R425" s="190"/>
    </row>
    <row r="426" spans="1:18" ht="12.75" customHeight="1" x14ac:dyDescent="0.25">
      <c r="A426" s="201" t="s">
        <v>396</v>
      </c>
      <c r="C426" s="199"/>
      <c r="D426" s="199"/>
      <c r="E426" s="199"/>
      <c r="F426" s="199"/>
      <c r="G426" s="199"/>
      <c r="H426" s="199"/>
      <c r="I426" s="199"/>
      <c r="J426" s="199"/>
      <c r="K426" s="199"/>
      <c r="L426" s="199"/>
      <c r="M426" s="190"/>
      <c r="N426" s="190"/>
      <c r="O426" s="190"/>
      <c r="P426" s="190"/>
      <c r="Q426" s="190"/>
      <c r="R426" s="190"/>
    </row>
    <row r="427" spans="1:18" ht="12.75" customHeight="1" x14ac:dyDescent="0.25">
      <c r="A427" s="202" t="s">
        <v>397</v>
      </c>
      <c r="C427" s="199"/>
      <c r="D427" s="199"/>
      <c r="E427" s="199"/>
      <c r="F427" s="199"/>
      <c r="G427" s="199"/>
      <c r="H427" s="199"/>
      <c r="I427" s="199"/>
      <c r="J427" s="199"/>
      <c r="K427" s="199"/>
      <c r="L427" s="199"/>
      <c r="M427" s="190"/>
      <c r="N427" s="190"/>
      <c r="O427" s="190"/>
      <c r="P427" s="190"/>
      <c r="Q427" s="190"/>
      <c r="R427" s="190"/>
    </row>
    <row r="428" spans="1:18" ht="12.75" customHeight="1" x14ac:dyDescent="0.25">
      <c r="A428" s="203" t="s">
        <v>398</v>
      </c>
      <c r="B428" s="204"/>
      <c r="C428" s="205"/>
      <c r="K428" s="205"/>
      <c r="L428" s="205"/>
      <c r="M428" s="190"/>
      <c r="N428" s="190"/>
      <c r="O428" s="190"/>
      <c r="P428" s="190"/>
      <c r="Q428" s="190"/>
      <c r="R428" s="190"/>
    </row>
    <row r="429" spans="1:18" ht="12.3" customHeight="1" x14ac:dyDescent="0.2">
      <c r="A429" s="3"/>
      <c r="B429" s="204"/>
      <c r="C429" s="205"/>
      <c r="K429" s="205"/>
      <c r="L429" s="205"/>
    </row>
    <row r="430" spans="1:18" ht="12.3" customHeight="1" x14ac:dyDescent="0.2">
      <c r="A430" s="3"/>
      <c r="B430" s="204"/>
      <c r="C430" s="205"/>
      <c r="K430" s="205"/>
      <c r="L430" s="205"/>
    </row>
    <row r="431" spans="1:18" ht="12.3" customHeight="1" x14ac:dyDescent="0.2">
      <c r="A431" s="3"/>
      <c r="B431" s="204"/>
      <c r="C431" s="205"/>
      <c r="K431" s="205"/>
      <c r="L431" s="205"/>
      <c r="O431" s="38"/>
    </row>
    <row r="432" spans="1:18" ht="12.3" customHeight="1" x14ac:dyDescent="0.2">
      <c r="A432" s="3"/>
      <c r="B432" s="204"/>
      <c r="C432" s="205"/>
      <c r="K432" s="205"/>
      <c r="L432" s="205"/>
    </row>
    <row r="433" spans="1:17" ht="12.3" customHeight="1" x14ac:dyDescent="0.2">
      <c r="A433" s="3"/>
      <c r="B433" s="204"/>
      <c r="C433" s="205"/>
      <c r="K433" s="205"/>
      <c r="L433" s="205"/>
    </row>
    <row r="434" spans="1:17" ht="12.3" customHeight="1" x14ac:dyDescent="0.2">
      <c r="A434" s="3"/>
      <c r="B434" s="204"/>
      <c r="C434" s="205"/>
      <c r="K434" s="205"/>
      <c r="L434" s="205"/>
    </row>
    <row r="435" spans="1:17" ht="12.3" customHeight="1" x14ac:dyDescent="0.2">
      <c r="A435" s="3"/>
      <c r="B435" s="204"/>
      <c r="C435" s="205"/>
      <c r="K435" s="205"/>
      <c r="L435" s="205"/>
    </row>
    <row r="436" spans="1:17" ht="12.3" customHeight="1" x14ac:dyDescent="0.2">
      <c r="A436" s="3"/>
      <c r="B436" s="204"/>
      <c r="C436" s="205"/>
      <c r="K436" s="205"/>
      <c r="L436" s="205"/>
      <c r="O436" s="38"/>
      <c r="Q436" s="39"/>
    </row>
    <row r="437" spans="1:17" ht="12.3" customHeight="1" x14ac:dyDescent="0.2">
      <c r="A437" s="3"/>
      <c r="B437" s="204"/>
      <c r="C437" s="205"/>
      <c r="K437" s="205"/>
      <c r="L437" s="205"/>
    </row>
    <row r="438" spans="1:17" ht="12.3" customHeight="1" x14ac:dyDescent="0.2">
      <c r="A438" s="3"/>
      <c r="B438" s="204"/>
      <c r="C438" s="205"/>
      <c r="K438" s="205"/>
      <c r="L438" s="205"/>
    </row>
    <row r="439" spans="1:17" ht="12.3" customHeight="1" x14ac:dyDescent="0.2">
      <c r="A439" s="3"/>
      <c r="B439" s="204"/>
      <c r="C439" s="205"/>
      <c r="K439" s="205"/>
      <c r="L439" s="205"/>
    </row>
    <row r="440" spans="1:17" ht="12.3" customHeight="1" x14ac:dyDescent="0.2">
      <c r="A440" s="3"/>
      <c r="B440" s="204"/>
      <c r="C440" s="205"/>
      <c r="K440" s="205"/>
      <c r="L440" s="205"/>
    </row>
    <row r="448" spans="1:17" x14ac:dyDescent="0.2">
      <c r="E448" s="206"/>
      <c r="H448" s="206"/>
    </row>
  </sheetData>
  <mergeCells count="5">
    <mergeCell ref="A1:L3"/>
    <mergeCell ref="C251:L251"/>
    <mergeCell ref="A422:L422"/>
    <mergeCell ref="A423:K423"/>
    <mergeCell ref="A425:K425"/>
  </mergeCells>
  <pageMargins left="0.7" right="0.7" top="0.75" bottom="0.75" header="0.3" footer="0.3"/>
  <headerFooter>
    <oddHeader>&amp;R&amp;"Calibri"&amp;12&amp;K000000 Unclassified - Non-Classifié&amp;1#_x000D_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4FB7-482A-4010-8951-3D995AE7BF0D}">
  <dimension ref="A1:C13"/>
  <sheetViews>
    <sheetView tabSelected="1" workbookViewId="0">
      <selection activeCell="E11" sqref="E11"/>
    </sheetView>
  </sheetViews>
  <sheetFormatPr defaultRowHeight="14.4" x14ac:dyDescent="0.3"/>
  <cols>
    <col min="2" max="2" width="9.109375" bestFit="1" customWidth="1"/>
  </cols>
  <sheetData>
    <row r="1" spans="1:3" x14ac:dyDescent="0.3">
      <c r="A1" t="s">
        <v>419</v>
      </c>
      <c r="B1" t="s">
        <v>417</v>
      </c>
      <c r="C1" t="s">
        <v>418</v>
      </c>
    </row>
    <row r="2" spans="1:3" x14ac:dyDescent="0.3">
      <c r="A2">
        <v>2025</v>
      </c>
      <c r="B2" t="s">
        <v>405</v>
      </c>
      <c r="C2" s="207">
        <f>Table!D48</f>
        <v>40290</v>
      </c>
    </row>
    <row r="3" spans="1:3" x14ac:dyDescent="0.3">
      <c r="A3">
        <v>2025</v>
      </c>
      <c r="B3" t="s">
        <v>406</v>
      </c>
      <c r="C3" s="207">
        <f>Table!D89</f>
        <v>284362</v>
      </c>
    </row>
    <row r="4" spans="1:3" x14ac:dyDescent="0.3">
      <c r="A4">
        <v>2025</v>
      </c>
      <c r="B4" t="s">
        <v>407</v>
      </c>
      <c r="C4" s="207">
        <f>Table!D107</f>
        <v>29039</v>
      </c>
    </row>
    <row r="5" spans="1:3" x14ac:dyDescent="0.3">
      <c r="A5">
        <v>2025</v>
      </c>
      <c r="B5" t="s">
        <v>408</v>
      </c>
      <c r="C5" s="207">
        <f>Table!D193</f>
        <v>283524.21999999997</v>
      </c>
    </row>
    <row r="6" spans="1:3" x14ac:dyDescent="0.3">
      <c r="A6">
        <v>2025</v>
      </c>
      <c r="B6" t="s">
        <v>409</v>
      </c>
      <c r="C6" s="207">
        <f>Table!D222</f>
        <v>144168</v>
      </c>
    </row>
    <row r="7" spans="1:3" x14ac:dyDescent="0.3">
      <c r="A7">
        <v>2025</v>
      </c>
      <c r="B7" t="s">
        <v>410</v>
      </c>
      <c r="C7" s="207">
        <f>Table!D237</f>
        <v>2459864</v>
      </c>
    </row>
    <row r="8" spans="1:3" x14ac:dyDescent="0.3">
      <c r="A8">
        <v>2025</v>
      </c>
      <c r="B8" t="s">
        <v>411</v>
      </c>
      <c r="C8" s="207">
        <f>Table!D253</f>
        <v>1209</v>
      </c>
    </row>
    <row r="9" spans="1:3" x14ac:dyDescent="0.3">
      <c r="A9">
        <v>2025</v>
      </c>
      <c r="B9" t="s">
        <v>413</v>
      </c>
      <c r="C9" s="207">
        <f>Table!D298</f>
        <v>441383.37</v>
      </c>
    </row>
    <row r="10" spans="1:3" x14ac:dyDescent="0.3">
      <c r="A10">
        <v>2025</v>
      </c>
      <c r="B10" t="s">
        <v>412</v>
      </c>
      <c r="C10" s="207">
        <f>Table!D323</f>
        <v>294819</v>
      </c>
    </row>
    <row r="11" spans="1:3" x14ac:dyDescent="0.3">
      <c r="A11">
        <v>2025</v>
      </c>
      <c r="B11" t="s">
        <v>414</v>
      </c>
      <c r="C11" s="207">
        <f>Table!D385</f>
        <v>1401604.1897469806</v>
      </c>
    </row>
    <row r="12" spans="1:3" x14ac:dyDescent="0.3">
      <c r="A12">
        <v>2025</v>
      </c>
      <c r="B12" t="s">
        <v>415</v>
      </c>
      <c r="C12" s="207">
        <f>Table!D409</f>
        <v>18504</v>
      </c>
    </row>
    <row r="13" spans="1:3" x14ac:dyDescent="0.3">
      <c r="A13">
        <v>2025</v>
      </c>
      <c r="B13" t="s">
        <v>416</v>
      </c>
      <c r="C13" s="207">
        <f>SUM(C2:C12)</f>
        <v>5398766.7797469804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Summary_HH</vt:lpstr>
    </vt:vector>
  </TitlesOfParts>
  <Company>DFO 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Everitt, Sean (DFO/MPO)</dc:creator>
  <cp:lastModifiedBy>Hannah Hunter</cp:lastModifiedBy>
  <dcterms:created xsi:type="dcterms:W3CDTF">2026-07-06T21:16:52Z</dcterms:created>
  <dcterms:modified xsi:type="dcterms:W3CDTF">2026-07-10T21:19:18Z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2026-07-06T21:32:32Z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8a8a33d6-76c8-49e3-a18e-db2a96c2a94d</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