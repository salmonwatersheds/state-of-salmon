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aniepeacock/Library/CloudStorage/Dropbox-SalmonWatersheds/Stephanie Peacock/X Drive/1_PROJECTS/1_Active/State of Salmon/2_Data &amp; Analysis/state-of-salmon/data/"/>
    </mc:Choice>
  </mc:AlternateContent>
  <xr:revisionPtr revIDLastSave="0" documentId="8_{51B5D051-67E8-4346-A84B-647CF3199D55}" xr6:coauthVersionLast="47" xr6:coauthVersionMax="47" xr10:uidLastSave="{00000000-0000-0000-0000-000000000000}"/>
  <bookViews>
    <workbookView xWindow="0" yWindow="760" windowWidth="16520" windowHeight="18880" xr2:uid="{0A37B0C9-4AD1-4E63-B2B3-B89817C36957}"/>
  </bookViews>
  <sheets>
    <sheet name="CAN Escapement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2" i="3" l="1"/>
  <c r="E19" i="3" l="1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18" i="3"/>
  <c r="E4" i="3"/>
  <c r="E5" i="3"/>
  <c r="E6" i="3"/>
  <c r="E7" i="3"/>
  <c r="E8" i="3"/>
  <c r="E9" i="3"/>
  <c r="E10" i="3"/>
  <c r="E11" i="3"/>
  <c r="E12" i="3"/>
  <c r="E13" i="3"/>
  <c r="E14" i="3"/>
  <c r="E16" i="3"/>
  <c r="E17" i="3"/>
  <c r="E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Ogden, Athena</author>
  </authors>
  <commentList>
    <comment ref="D2" authorId="0" shapeId="0" xr:uid="{0685D057-D9F2-47CF-A9F8-41C18E222C38}">
      <text>
        <r>
          <rPr>
            <b/>
            <sz val="9"/>
            <color indexed="81"/>
            <rFont val="Tahoma"/>
            <family val="2"/>
          </rPr>
          <t>Ogden, Athena:</t>
        </r>
        <r>
          <rPr>
            <sz val="9"/>
            <color indexed="81"/>
            <rFont val="Tahoma"/>
            <family val="2"/>
          </rPr>
          <t xml:space="preserve">
(June 2025)These are preliminary. We have not received the otolith data from the lab yet, so we are using a 35 cm cut-off to separate kokanee from Sockeye</t>
        </r>
      </text>
    </comment>
    <comment ref="D15" authorId="0" shapeId="0" xr:uid="{22360267-4325-4393-AD39-9D50BA6B89B8}">
      <text>
        <r>
          <rPr>
            <b/>
            <sz val="9"/>
            <color indexed="81"/>
            <rFont val="Tahoma"/>
            <family val="2"/>
          </rPr>
          <t>Ogden, Athena:</t>
        </r>
        <r>
          <rPr>
            <sz val="9"/>
            <color indexed="81"/>
            <rFont val="Tahoma"/>
            <family val="2"/>
          </rPr>
          <t xml:space="preserve">
We don't trust the estimate of the ppn Sockeye among the nerkids spawning there for this year</t>
        </r>
      </text>
    </comment>
  </commentList>
</comments>
</file>

<file path=xl/sharedStrings.xml><?xml version="1.0" encoding="utf-8"?>
<sst xmlns="http://schemas.openxmlformats.org/spreadsheetml/2006/main" count="62" uniqueCount="24">
  <si>
    <t>Year</t>
  </si>
  <si>
    <t>Wells</t>
  </si>
  <si>
    <t>Total spawners</t>
  </si>
  <si>
    <t>Source Document</t>
  </si>
  <si>
    <t>1, 2</t>
  </si>
  <si>
    <t>Note from Athena:</t>
  </si>
  <si>
    <t>come from the Bailey et al. 2025 report (Howard Stiff's work)</t>
  </si>
  <si>
    <t>is continuing to refine the escapement estimates,</t>
  </si>
  <si>
    <t>so these numbers may change somewhat in the future</t>
  </si>
  <si>
    <t>These escapement estimates include both natural- and hatchery-origin Sockeye</t>
  </si>
  <si>
    <t>NA</t>
  </si>
  <si>
    <r>
      <t>Osoyoos AUC</t>
    </r>
    <r>
      <rPr>
        <b/>
        <vertAlign val="subscript"/>
        <sz val="10"/>
        <rFont val="Tahoma"/>
        <family val="2"/>
      </rPr>
      <t>river</t>
    </r>
  </si>
  <si>
    <t>**Note that the DFO Science SiRE program, under Patrick Thompson,</t>
  </si>
  <si>
    <t>These AUC numbers for Osoyoos and Skaha (return years 2000 to 2023)</t>
  </si>
  <si>
    <t>Skaha AUC</t>
  </si>
  <si>
    <t>2024 numbers for Skaha are preliminary, based on the 35cm cut-off to separate ppn of Sox / kok;</t>
  </si>
  <si>
    <t>The otolith data from the lab might take another 6-12 months.</t>
  </si>
  <si>
    <t>Also note that prior to 2002, the AUC numbers were estimated</t>
  </si>
  <si>
    <t>using a variety of methods (cross-calibrations among different datasets)</t>
  </si>
  <si>
    <t>and the quality of those estimatess is currently unknown</t>
  </si>
  <si>
    <t xml:space="preserve">41273965.pdf </t>
  </si>
  <si>
    <t>, Appendix Table 3</t>
  </si>
  <si>
    <t>are the most up-to-date estimates as of June 2025 and</t>
  </si>
  <si>
    <t>working document: "Spawning_Totals_241204 Bailey tables - wkg for KR.xlsx"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</si>
</sst>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Tahoma"/>
      <family val="2"/>
    </font>
    <font>
      <b/>
      <vertAlign val="subscript"/>
      <sz val="10"/>
      <name val="Tahoma"/>
      <family val="2"/>
    </font>
    <font>
      <b/>
      <sz val="9"/>
      <color indexed="12"/>
      <name val="Tahoma"/>
      <family val="2"/>
    </font>
    <font>
      <sz val="10"/>
      <name val="Tahoma"/>
      <family val="2"/>
    </font>
    <font>
      <sz val="10"/>
      <color indexed="12"/>
      <name val="Tahoma"/>
      <family val="2"/>
    </font>
    <font>
      <i/>
      <sz val="10"/>
      <name val="Tahoma"/>
      <family val="2"/>
    </font>
    <font>
      <sz val="9"/>
      <color indexed="12"/>
      <name val="Tahoma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20">
    <xf numFmtId="0" fontId="0" fillId="0" borderId="0" xfId="0"/>
    <xf numFmtId="3" fontId="0" fillId="0" borderId="0" xfId="0" applyNumberFormat="1"/>
    <xf numFmtId="3" fontId="4" fillId="0" borderId="1" xfId="0" applyNumberFormat="1" applyFont="1" applyBorder="1" applyAlignment="1">
      <alignment horizontal="right" wrapText="1"/>
    </xf>
    <xf numFmtId="0" fontId="6" fillId="0" borderId="0" xfId="0" applyFont="1" applyAlignment="1">
      <alignment horizontal="center" wrapText="1"/>
    </xf>
    <xf numFmtId="3" fontId="7" fillId="0" borderId="0" xfId="0" applyNumberFormat="1" applyFont="1" applyAlignment="1">
      <alignment horizontal="right" wrapText="1"/>
    </xf>
    <xf numFmtId="0" fontId="7" fillId="0" borderId="0" xfId="0" applyFont="1"/>
    <xf numFmtId="3" fontId="7" fillId="0" borderId="0" xfId="0" applyNumberFormat="1" applyFont="1"/>
    <xf numFmtId="0" fontId="8" fillId="0" borderId="0" xfId="0" applyFont="1" applyAlignment="1">
      <alignment horizontal="center"/>
    </xf>
    <xf numFmtId="3" fontId="9" fillId="0" borderId="0" xfId="0" applyNumberFormat="1" applyFont="1"/>
    <xf numFmtId="0" fontId="10" fillId="0" borderId="0" xfId="0" applyFont="1" applyAlignment="1">
      <alignment horizontal="center" wrapText="1"/>
    </xf>
    <xf numFmtId="0" fontId="4" fillId="0" borderId="3" xfId="0" applyFont="1" applyBorder="1" applyAlignment="1">
      <alignment horizontal="right" wrapText="1"/>
    </xf>
    <xf numFmtId="0" fontId="7" fillId="0" borderId="2" xfId="0" applyFont="1" applyBorder="1" applyAlignment="1">
      <alignment horizontal="right" wrapText="1"/>
    </xf>
    <xf numFmtId="0" fontId="7" fillId="0" borderId="2" xfId="0" applyFont="1" applyBorder="1"/>
    <xf numFmtId="0" fontId="0" fillId="2" borderId="0" xfId="0" applyFill="1"/>
    <xf numFmtId="0" fontId="13" fillId="0" borderId="0" xfId="0" applyFont="1"/>
    <xf numFmtId="0" fontId="14" fillId="0" borderId="0" xfId="2"/>
    <xf numFmtId="3" fontId="7" fillId="0" borderId="0" xfId="0" applyNumberFormat="1" applyFont="1" applyAlignment="1">
      <alignment horizontal="right" vertical="top" wrapText="1"/>
    </xf>
    <xf numFmtId="3" fontId="7" fillId="0" borderId="0" xfId="0" applyNumberFormat="1" applyFont="1" applyAlignment="1">
      <alignment horizontal="right" vertical="center" wrapText="1"/>
    </xf>
    <xf numFmtId="3" fontId="11" fillId="0" borderId="0" xfId="0" applyNumberFormat="1" applyFont="1"/>
    <xf numFmtId="3" fontId="12" fillId="0" borderId="0" xfId="0" applyNumberFormat="1" applyFont="1"/>
  </cellXfs>
  <cellStyles count="3">
    <cellStyle name="Hyperlink" xfId="2" builtinId="8"/>
    <cellStyle name="Normal" xfId="0" builtinId="0"/>
    <cellStyle name="Normal 2" xfId="1" xr:uid="{0A4B45D8-CE5B-4E10-83E5-06DA3DA95F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aves-vagues.dfo-mpo.gc.ca/library-bibliotheque/4127396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443A1-EF09-4A84-BB14-F9CD3FF0740E}">
  <dimension ref="A1:L75"/>
  <sheetViews>
    <sheetView tabSelected="1" zoomScale="80" zoomScaleNormal="80" workbookViewId="0">
      <selection activeCell="B1" sqref="B1:D1"/>
    </sheetView>
  </sheetViews>
  <sheetFormatPr baseColWidth="10" defaultColWidth="8.83203125" defaultRowHeight="15" x14ac:dyDescent="0.2"/>
  <cols>
    <col min="1" max="1" width="8.6640625" style="5"/>
    <col min="2" max="4" width="9.6640625" style="6" customWidth="1"/>
    <col min="5" max="5" width="11.6640625" style="6" customWidth="1"/>
    <col min="6" max="6" width="10.5" style="7" customWidth="1"/>
  </cols>
  <sheetData>
    <row r="1" spans="1:12" ht="30" x14ac:dyDescent="0.2">
      <c r="A1" s="10" t="s">
        <v>0</v>
      </c>
      <c r="B1" s="2" t="s">
        <v>1</v>
      </c>
      <c r="C1" s="2" t="s">
        <v>11</v>
      </c>
      <c r="D1" s="2" t="s">
        <v>14</v>
      </c>
      <c r="E1" s="2" t="s">
        <v>2</v>
      </c>
      <c r="F1" s="3" t="s">
        <v>3</v>
      </c>
    </row>
    <row r="2" spans="1:12" x14ac:dyDescent="0.2">
      <c r="A2" s="11">
        <v>2024</v>
      </c>
      <c r="B2" s="18">
        <v>491029</v>
      </c>
      <c r="C2" s="16">
        <v>103837.272727273</v>
      </c>
      <c r="D2" s="16">
        <v>52065</v>
      </c>
      <c r="E2" s="17">
        <f>D2+C2</f>
        <v>155902.272727273</v>
      </c>
      <c r="F2" s="9"/>
      <c r="J2" t="s">
        <v>5</v>
      </c>
    </row>
    <row r="3" spans="1:12" x14ac:dyDescent="0.2">
      <c r="A3" s="11">
        <v>2023</v>
      </c>
      <c r="B3" s="18">
        <v>136956</v>
      </c>
      <c r="C3" s="1">
        <v>17354</v>
      </c>
      <c r="D3" s="1">
        <v>26504</v>
      </c>
      <c r="E3" s="4">
        <f>D3+C3</f>
        <v>43858</v>
      </c>
      <c r="F3" s="9"/>
      <c r="J3" t="s">
        <v>13</v>
      </c>
    </row>
    <row r="4" spans="1:12" x14ac:dyDescent="0.2">
      <c r="A4" s="11">
        <v>2022</v>
      </c>
      <c r="B4" s="4">
        <v>478358</v>
      </c>
      <c r="C4" s="1">
        <v>74700</v>
      </c>
      <c r="D4" s="1">
        <v>27786</v>
      </c>
      <c r="E4" s="4">
        <f t="shared" ref="E4:E17" si="0">D4+C4</f>
        <v>102486</v>
      </c>
      <c r="F4" s="3"/>
      <c r="J4" t="s">
        <v>22</v>
      </c>
    </row>
    <row r="5" spans="1:12" x14ac:dyDescent="0.2">
      <c r="A5" s="12">
        <v>2021</v>
      </c>
      <c r="B5" s="4">
        <v>76255</v>
      </c>
      <c r="C5" s="1">
        <v>10660</v>
      </c>
      <c r="D5" s="1">
        <v>14278</v>
      </c>
      <c r="E5" s="4">
        <f t="shared" si="0"/>
        <v>24938</v>
      </c>
      <c r="F5" s="3"/>
      <c r="J5" t="s">
        <v>6</v>
      </c>
    </row>
    <row r="6" spans="1:12" x14ac:dyDescent="0.2">
      <c r="A6" s="11">
        <v>2020</v>
      </c>
      <c r="B6" s="4">
        <v>226107</v>
      </c>
      <c r="C6" s="1">
        <v>46697</v>
      </c>
      <c r="D6" s="1">
        <v>22666</v>
      </c>
      <c r="E6" s="4">
        <f t="shared" si="0"/>
        <v>69363</v>
      </c>
      <c r="F6" s="3"/>
      <c r="J6" s="15" t="s">
        <v>20</v>
      </c>
      <c r="L6" t="s">
        <v>21</v>
      </c>
    </row>
    <row r="7" spans="1:12" x14ac:dyDescent="0.2">
      <c r="A7" s="11">
        <v>2019</v>
      </c>
      <c r="B7" s="4">
        <v>49862</v>
      </c>
      <c r="C7" s="1">
        <v>13057</v>
      </c>
      <c r="D7" s="1">
        <v>15122</v>
      </c>
      <c r="E7" s="4">
        <f t="shared" si="0"/>
        <v>28179</v>
      </c>
      <c r="F7" s="3"/>
      <c r="J7" t="s">
        <v>23</v>
      </c>
    </row>
    <row r="8" spans="1:12" x14ac:dyDescent="0.2">
      <c r="A8" s="12">
        <v>2018</v>
      </c>
      <c r="B8" s="4">
        <v>153637</v>
      </c>
      <c r="C8" s="1">
        <v>30755</v>
      </c>
      <c r="D8" s="1">
        <v>26604</v>
      </c>
      <c r="E8" s="4">
        <f t="shared" si="0"/>
        <v>57359</v>
      </c>
      <c r="F8" s="3"/>
      <c r="J8" t="s">
        <v>12</v>
      </c>
    </row>
    <row r="9" spans="1:12" x14ac:dyDescent="0.2">
      <c r="A9" s="11">
        <v>2017</v>
      </c>
      <c r="B9" s="4">
        <v>42299</v>
      </c>
      <c r="C9" s="1">
        <v>10033</v>
      </c>
      <c r="D9" s="1">
        <v>26485</v>
      </c>
      <c r="E9" s="4">
        <f t="shared" si="0"/>
        <v>36518</v>
      </c>
      <c r="F9" s="3"/>
      <c r="J9" t="s">
        <v>7</v>
      </c>
    </row>
    <row r="10" spans="1:12" x14ac:dyDescent="0.2">
      <c r="A10" s="11">
        <v>2016</v>
      </c>
      <c r="B10" s="4">
        <v>216036</v>
      </c>
      <c r="C10" s="1">
        <v>54554</v>
      </c>
      <c r="D10" s="1">
        <v>41832</v>
      </c>
      <c r="E10" s="4">
        <f t="shared" si="0"/>
        <v>96386</v>
      </c>
      <c r="F10" s="3"/>
      <c r="J10" t="s">
        <v>8</v>
      </c>
    </row>
    <row r="11" spans="1:12" x14ac:dyDescent="0.2">
      <c r="A11" s="12">
        <v>2015</v>
      </c>
      <c r="B11" s="4">
        <v>492892</v>
      </c>
      <c r="C11" s="1">
        <v>10255</v>
      </c>
      <c r="D11" s="1">
        <v>7543</v>
      </c>
      <c r="E11" s="4">
        <f t="shared" si="0"/>
        <v>17798</v>
      </c>
      <c r="F11" s="3"/>
      <c r="J11" t="s">
        <v>9</v>
      </c>
    </row>
    <row r="12" spans="1:12" x14ac:dyDescent="0.2">
      <c r="A12" s="11">
        <v>2014</v>
      </c>
      <c r="B12" s="4">
        <v>490804</v>
      </c>
      <c r="C12" s="1">
        <v>145206</v>
      </c>
      <c r="D12" s="1">
        <v>26837</v>
      </c>
      <c r="E12" s="4">
        <f t="shared" si="0"/>
        <v>172043</v>
      </c>
      <c r="F12" s="3"/>
    </row>
    <row r="13" spans="1:12" x14ac:dyDescent="0.2">
      <c r="A13" s="11">
        <v>2013</v>
      </c>
      <c r="B13" s="4">
        <v>129993</v>
      </c>
      <c r="C13" s="1">
        <v>34440</v>
      </c>
      <c r="D13" s="1">
        <v>13511</v>
      </c>
      <c r="E13" s="4">
        <f t="shared" si="0"/>
        <v>47951</v>
      </c>
      <c r="F13"/>
      <c r="J13" s="13" t="s">
        <v>15</v>
      </c>
    </row>
    <row r="14" spans="1:12" x14ac:dyDescent="0.2">
      <c r="A14" s="12">
        <v>2012</v>
      </c>
      <c r="B14" s="6">
        <v>326102</v>
      </c>
      <c r="C14" s="1">
        <v>90862</v>
      </c>
      <c r="D14" s="1">
        <v>19440</v>
      </c>
      <c r="E14" s="4">
        <f t="shared" si="0"/>
        <v>110302</v>
      </c>
      <c r="F14"/>
      <c r="J14" t="s">
        <v>16</v>
      </c>
    </row>
    <row r="15" spans="1:12" x14ac:dyDescent="0.2">
      <c r="A15" s="12">
        <v>2011</v>
      </c>
      <c r="B15" s="6">
        <v>111507</v>
      </c>
      <c r="C15" s="19">
        <v>34528</v>
      </c>
      <c r="D15" s="19" t="s">
        <v>10</v>
      </c>
      <c r="E15" s="4">
        <f>C15</f>
        <v>34528</v>
      </c>
      <c r="F15"/>
    </row>
    <row r="16" spans="1:12" x14ac:dyDescent="0.2">
      <c r="A16" s="12">
        <v>2010</v>
      </c>
      <c r="B16" s="6">
        <v>291764</v>
      </c>
      <c r="C16" s="1">
        <v>182487</v>
      </c>
      <c r="D16" s="1">
        <v>17857</v>
      </c>
      <c r="E16" s="4">
        <f t="shared" si="0"/>
        <v>200344</v>
      </c>
      <c r="F16"/>
      <c r="J16" s="14" t="s">
        <v>17</v>
      </c>
    </row>
    <row r="17" spans="1:10" x14ac:dyDescent="0.2">
      <c r="A17" s="12">
        <v>2009</v>
      </c>
      <c r="B17" s="6">
        <v>134937</v>
      </c>
      <c r="C17" s="1">
        <v>64088</v>
      </c>
      <c r="D17" s="1">
        <v>4041</v>
      </c>
      <c r="E17" s="4">
        <f t="shared" si="0"/>
        <v>68129</v>
      </c>
      <c r="F17"/>
      <c r="J17" s="14" t="s">
        <v>18</v>
      </c>
    </row>
    <row r="18" spans="1:10" x14ac:dyDescent="0.2">
      <c r="A18" s="12">
        <v>2008</v>
      </c>
      <c r="B18" s="6">
        <v>165334</v>
      </c>
      <c r="C18" s="1">
        <v>126972</v>
      </c>
      <c r="D18" s="1">
        <v>0</v>
      </c>
      <c r="E18" s="4">
        <f>C18</f>
        <v>126972</v>
      </c>
      <c r="F18"/>
      <c r="J18" s="14" t="s">
        <v>19</v>
      </c>
    </row>
    <row r="19" spans="1:10" x14ac:dyDescent="0.2">
      <c r="A19" s="12">
        <v>2007</v>
      </c>
      <c r="B19" s="6">
        <v>22273</v>
      </c>
      <c r="C19" s="1">
        <v>13490</v>
      </c>
      <c r="D19" s="1">
        <v>0</v>
      </c>
      <c r="E19" s="4">
        <f t="shared" ref="E19:E65" si="1">C19</f>
        <v>13490</v>
      </c>
      <c r="F19"/>
    </row>
    <row r="20" spans="1:10" x14ac:dyDescent="0.2">
      <c r="A20" s="12">
        <v>2006</v>
      </c>
      <c r="B20" s="6">
        <v>22075</v>
      </c>
      <c r="C20" s="1">
        <v>20819</v>
      </c>
      <c r="D20" s="1">
        <v>0</v>
      </c>
      <c r="E20" s="4">
        <f t="shared" si="1"/>
        <v>20819</v>
      </c>
      <c r="F20"/>
    </row>
    <row r="21" spans="1:10" x14ac:dyDescent="0.2">
      <c r="A21" s="12">
        <v>2005</v>
      </c>
      <c r="B21" s="6">
        <v>55559</v>
      </c>
      <c r="C21" s="1">
        <v>31260</v>
      </c>
      <c r="D21" s="1">
        <v>0</v>
      </c>
      <c r="E21" s="4">
        <f t="shared" si="1"/>
        <v>31260</v>
      </c>
      <c r="F21"/>
    </row>
    <row r="22" spans="1:10" x14ac:dyDescent="0.2">
      <c r="A22" s="12">
        <v>2004</v>
      </c>
      <c r="B22" s="6">
        <v>78053</v>
      </c>
      <c r="C22" s="1">
        <v>41791</v>
      </c>
      <c r="D22" s="1">
        <v>0</v>
      </c>
      <c r="E22" s="4">
        <f t="shared" si="1"/>
        <v>41791</v>
      </c>
      <c r="F22"/>
    </row>
    <row r="23" spans="1:10" x14ac:dyDescent="0.2">
      <c r="A23" s="12">
        <v>2003</v>
      </c>
      <c r="B23" s="6">
        <v>29374</v>
      </c>
      <c r="C23" s="1">
        <v>17753</v>
      </c>
      <c r="D23" s="1">
        <v>0</v>
      </c>
      <c r="E23" s="4">
        <f t="shared" si="1"/>
        <v>17753</v>
      </c>
      <c r="F23"/>
    </row>
    <row r="24" spans="1:10" x14ac:dyDescent="0.2">
      <c r="A24" s="12">
        <v>2002</v>
      </c>
      <c r="B24" s="4">
        <v>10659</v>
      </c>
      <c r="C24" s="1">
        <v>4904</v>
      </c>
      <c r="D24" s="1">
        <v>0</v>
      </c>
      <c r="E24" s="4">
        <f t="shared" si="1"/>
        <v>4904</v>
      </c>
      <c r="F24"/>
    </row>
    <row r="25" spans="1:10" x14ac:dyDescent="0.2">
      <c r="A25" s="12">
        <v>2001</v>
      </c>
      <c r="B25" s="6">
        <v>74486</v>
      </c>
      <c r="C25" s="1">
        <v>39378</v>
      </c>
      <c r="D25" s="1">
        <v>0</v>
      </c>
      <c r="E25" s="4">
        <f t="shared" si="1"/>
        <v>39378</v>
      </c>
    </row>
    <row r="26" spans="1:10" x14ac:dyDescent="0.2">
      <c r="A26" s="12">
        <v>2000</v>
      </c>
      <c r="B26" s="6">
        <v>59944</v>
      </c>
      <c r="C26" s="1">
        <v>21926</v>
      </c>
      <c r="D26" s="1">
        <v>0</v>
      </c>
      <c r="E26" s="4">
        <f t="shared" si="1"/>
        <v>21926</v>
      </c>
    </row>
    <row r="27" spans="1:10" x14ac:dyDescent="0.2">
      <c r="A27" s="12">
        <v>1999</v>
      </c>
      <c r="B27" s="6">
        <v>12388</v>
      </c>
      <c r="C27" s="6">
        <v>5648</v>
      </c>
      <c r="E27" s="4">
        <f t="shared" si="1"/>
        <v>5648</v>
      </c>
      <c r="F27" s="7" t="s">
        <v>4</v>
      </c>
    </row>
    <row r="28" spans="1:10" x14ac:dyDescent="0.2">
      <c r="A28" s="12">
        <v>1998</v>
      </c>
      <c r="B28" s="6">
        <v>4666</v>
      </c>
      <c r="C28" s="6">
        <v>3708.1283400000002</v>
      </c>
      <c r="E28" s="4">
        <f t="shared" si="1"/>
        <v>3708.1283400000002</v>
      </c>
      <c r="F28" s="7" t="s">
        <v>4</v>
      </c>
    </row>
    <row r="29" spans="1:10" x14ac:dyDescent="0.2">
      <c r="A29" s="12">
        <v>1997</v>
      </c>
      <c r="B29" s="6">
        <v>24621</v>
      </c>
      <c r="C29" s="6">
        <v>11995.866279999998</v>
      </c>
      <c r="E29" s="4">
        <f t="shared" si="1"/>
        <v>11995.866279999998</v>
      </c>
      <c r="F29" s="7" t="s">
        <v>4</v>
      </c>
    </row>
    <row r="30" spans="1:10" x14ac:dyDescent="0.2">
      <c r="A30" s="12">
        <v>1996</v>
      </c>
      <c r="B30" s="6">
        <v>17701</v>
      </c>
      <c r="C30" s="6">
        <v>17034.937531999996</v>
      </c>
      <c r="E30" s="4">
        <f t="shared" si="1"/>
        <v>17034.937531999996</v>
      </c>
      <c r="F30" s="7" t="s">
        <v>4</v>
      </c>
    </row>
    <row r="31" spans="1:10" x14ac:dyDescent="0.2">
      <c r="A31" s="12">
        <v>1995</v>
      </c>
      <c r="B31" s="6">
        <v>4892</v>
      </c>
      <c r="C31" s="6">
        <v>4581.2901363636356</v>
      </c>
      <c r="E31" s="4">
        <f t="shared" si="1"/>
        <v>4581.2901363636356</v>
      </c>
      <c r="F31" s="7" t="s">
        <v>4</v>
      </c>
    </row>
    <row r="32" spans="1:10" x14ac:dyDescent="0.2">
      <c r="A32" s="12">
        <v>1994</v>
      </c>
      <c r="B32" s="6">
        <v>1666</v>
      </c>
      <c r="C32" s="6">
        <v>1976.704</v>
      </c>
      <c r="E32" s="4">
        <f t="shared" si="1"/>
        <v>1976.704</v>
      </c>
      <c r="F32" s="7" t="s">
        <v>4</v>
      </c>
    </row>
    <row r="33" spans="1:6" x14ac:dyDescent="0.2">
      <c r="A33" s="12">
        <v>1993</v>
      </c>
      <c r="B33" s="6">
        <v>27894</v>
      </c>
      <c r="C33" s="6">
        <v>17151.423999999999</v>
      </c>
      <c r="E33" s="4">
        <f t="shared" si="1"/>
        <v>17151.423999999999</v>
      </c>
      <c r="F33" s="7" t="s">
        <v>4</v>
      </c>
    </row>
    <row r="34" spans="1:6" x14ac:dyDescent="0.2">
      <c r="A34" s="12">
        <v>1992</v>
      </c>
      <c r="B34" s="6">
        <v>41951</v>
      </c>
      <c r="C34" s="6">
        <v>33184.318181818184</v>
      </c>
      <c r="E34" s="4">
        <f t="shared" si="1"/>
        <v>33184.318181818184</v>
      </c>
      <c r="F34" s="7" t="s">
        <v>4</v>
      </c>
    </row>
    <row r="35" spans="1:6" x14ac:dyDescent="0.2">
      <c r="A35" s="12">
        <v>1991</v>
      </c>
      <c r="B35" s="6">
        <v>27490</v>
      </c>
      <c r="C35" s="6">
        <v>19737.564387946426</v>
      </c>
      <c r="E35" s="4">
        <f t="shared" si="1"/>
        <v>19737.564387946426</v>
      </c>
      <c r="F35" s="7" t="s">
        <v>4</v>
      </c>
    </row>
    <row r="36" spans="1:6" x14ac:dyDescent="0.2">
      <c r="A36" s="12">
        <v>1990</v>
      </c>
      <c r="B36" s="6">
        <v>7609</v>
      </c>
      <c r="C36" s="6">
        <v>6261.4948737499999</v>
      </c>
      <c r="E36" s="4">
        <f t="shared" si="1"/>
        <v>6261.4948737499999</v>
      </c>
      <c r="F36" s="7" t="s">
        <v>4</v>
      </c>
    </row>
    <row r="37" spans="1:6" x14ac:dyDescent="0.2">
      <c r="A37" s="12">
        <v>1989</v>
      </c>
      <c r="B37" s="6">
        <v>15976</v>
      </c>
      <c r="C37" s="6">
        <v>17947.464139999996</v>
      </c>
      <c r="E37" s="4">
        <f t="shared" si="1"/>
        <v>17947.464139999996</v>
      </c>
      <c r="F37" s="7" t="s">
        <v>4</v>
      </c>
    </row>
    <row r="38" spans="1:6" x14ac:dyDescent="0.2">
      <c r="A38" s="12">
        <v>1988</v>
      </c>
      <c r="B38" s="6">
        <v>33978</v>
      </c>
      <c r="C38" s="6">
        <v>20652.928</v>
      </c>
      <c r="E38" s="4">
        <f t="shared" si="1"/>
        <v>20652.928</v>
      </c>
      <c r="F38" s="7" t="s">
        <v>4</v>
      </c>
    </row>
    <row r="39" spans="1:6" x14ac:dyDescent="0.2">
      <c r="A39" s="12">
        <v>1987</v>
      </c>
      <c r="B39" s="6">
        <v>40120</v>
      </c>
      <c r="C39" s="6">
        <v>21090.09404</v>
      </c>
      <c r="E39" s="4">
        <f t="shared" si="1"/>
        <v>21090.09404</v>
      </c>
      <c r="F39" s="7" t="s">
        <v>4</v>
      </c>
    </row>
    <row r="40" spans="1:6" x14ac:dyDescent="0.2">
      <c r="A40" s="12">
        <v>1986</v>
      </c>
      <c r="B40" s="6">
        <v>34788</v>
      </c>
      <c r="C40" s="6">
        <v>15472.158119999998</v>
      </c>
      <c r="E40" s="4">
        <f t="shared" si="1"/>
        <v>15472.158119999998</v>
      </c>
      <c r="F40" s="7" t="s">
        <v>4</v>
      </c>
    </row>
    <row r="41" spans="1:6" x14ac:dyDescent="0.2">
      <c r="A41" s="12">
        <v>1985</v>
      </c>
      <c r="B41" s="6">
        <v>52989</v>
      </c>
      <c r="C41" s="6">
        <v>31945.746459999998</v>
      </c>
      <c r="E41" s="4">
        <f t="shared" si="1"/>
        <v>31945.746459999998</v>
      </c>
      <c r="F41" s="7" t="s">
        <v>4</v>
      </c>
    </row>
    <row r="42" spans="1:6" x14ac:dyDescent="0.2">
      <c r="A42" s="12">
        <v>1984</v>
      </c>
      <c r="B42" s="6">
        <v>81054</v>
      </c>
      <c r="C42" s="6">
        <v>53720.679856000002</v>
      </c>
      <c r="E42" s="4">
        <f t="shared" si="1"/>
        <v>53720.679856000002</v>
      </c>
      <c r="F42" s="7" t="s">
        <v>4</v>
      </c>
    </row>
    <row r="43" spans="1:6" x14ac:dyDescent="0.2">
      <c r="A43" s="12">
        <v>1983</v>
      </c>
      <c r="B43" s="6">
        <v>27925</v>
      </c>
      <c r="C43" s="6">
        <v>16761.471999999998</v>
      </c>
      <c r="E43" s="4">
        <f t="shared" si="1"/>
        <v>16761.471999999998</v>
      </c>
      <c r="F43" s="7" t="s">
        <v>4</v>
      </c>
    </row>
    <row r="44" spans="1:6" x14ac:dyDescent="0.2">
      <c r="A44" s="12">
        <v>1982</v>
      </c>
      <c r="B44" s="6">
        <v>19005</v>
      </c>
      <c r="C44" s="6">
        <v>11703.04</v>
      </c>
      <c r="E44" s="4">
        <f t="shared" si="1"/>
        <v>11703.04</v>
      </c>
      <c r="F44" s="7" t="s">
        <v>4</v>
      </c>
    </row>
    <row r="45" spans="1:6" x14ac:dyDescent="0.2">
      <c r="A45" s="12">
        <v>1981</v>
      </c>
      <c r="B45" s="6">
        <v>28234</v>
      </c>
      <c r="C45" s="6">
        <v>16938.303999999996</v>
      </c>
      <c r="E45" s="4">
        <f t="shared" si="1"/>
        <v>16938.303999999996</v>
      </c>
      <c r="F45" s="7" t="s">
        <v>4</v>
      </c>
    </row>
    <row r="46" spans="1:6" x14ac:dyDescent="0.2">
      <c r="A46" s="12">
        <v>1980</v>
      </c>
      <c r="B46" s="6">
        <v>26573</v>
      </c>
      <c r="C46" s="6">
        <v>15807.04</v>
      </c>
      <c r="E46" s="4">
        <f t="shared" si="1"/>
        <v>15807.04</v>
      </c>
      <c r="F46" s="7" t="s">
        <v>4</v>
      </c>
    </row>
    <row r="47" spans="1:6" x14ac:dyDescent="0.2">
      <c r="A47" s="12">
        <v>1979</v>
      </c>
      <c r="B47" s="6">
        <v>26655</v>
      </c>
      <c r="C47" s="6">
        <v>15009.28</v>
      </c>
      <c r="E47" s="4">
        <f t="shared" si="1"/>
        <v>15009.28</v>
      </c>
      <c r="F47" s="7" t="s">
        <v>4</v>
      </c>
    </row>
    <row r="48" spans="1:6" x14ac:dyDescent="0.2">
      <c r="A48" s="12">
        <v>1978</v>
      </c>
      <c r="B48" s="6">
        <v>7644</v>
      </c>
      <c r="C48" s="6">
        <v>4750.1440000000002</v>
      </c>
      <c r="E48" s="4">
        <f t="shared" si="1"/>
        <v>4750.1440000000002</v>
      </c>
      <c r="F48" s="7" t="s">
        <v>4</v>
      </c>
    </row>
    <row r="49" spans="1:6" x14ac:dyDescent="0.2">
      <c r="A49" s="12">
        <v>1977</v>
      </c>
      <c r="B49" s="6">
        <v>21973</v>
      </c>
      <c r="C49" s="6">
        <v>13176.447999999999</v>
      </c>
      <c r="E49" s="4">
        <f t="shared" si="1"/>
        <v>13176.447999999999</v>
      </c>
      <c r="F49" s="7" t="s">
        <v>4</v>
      </c>
    </row>
    <row r="50" spans="1:6" x14ac:dyDescent="0.2">
      <c r="A50" s="12">
        <v>1976</v>
      </c>
      <c r="B50" s="6">
        <v>27619</v>
      </c>
      <c r="C50" s="6">
        <v>16428.543999999998</v>
      </c>
      <c r="E50" s="4">
        <f t="shared" si="1"/>
        <v>16428.543999999998</v>
      </c>
      <c r="F50" s="7" t="s">
        <v>4</v>
      </c>
    </row>
    <row r="51" spans="1:6" x14ac:dyDescent="0.2">
      <c r="A51" s="12">
        <v>1975</v>
      </c>
      <c r="B51" s="6">
        <v>22286</v>
      </c>
      <c r="C51" s="6">
        <v>12739.234043999999</v>
      </c>
      <c r="E51" s="4">
        <f t="shared" si="1"/>
        <v>12739.234043999999</v>
      </c>
      <c r="F51" s="7" t="s">
        <v>4</v>
      </c>
    </row>
    <row r="52" spans="1:6" x14ac:dyDescent="0.2">
      <c r="A52" s="12">
        <v>1974</v>
      </c>
      <c r="B52" s="6">
        <v>16716</v>
      </c>
      <c r="C52" s="6">
        <v>7110.4347120000002</v>
      </c>
      <c r="E52" s="4">
        <f t="shared" si="1"/>
        <v>7110.4347120000002</v>
      </c>
      <c r="F52" s="7" t="s">
        <v>4</v>
      </c>
    </row>
    <row r="53" spans="1:6" x14ac:dyDescent="0.2">
      <c r="A53" s="12">
        <v>1973</v>
      </c>
      <c r="B53" s="6">
        <v>37178</v>
      </c>
      <c r="C53" s="6">
        <v>12133</v>
      </c>
      <c r="E53" s="4">
        <f t="shared" si="1"/>
        <v>12133</v>
      </c>
      <c r="F53" s="7" t="s">
        <v>4</v>
      </c>
    </row>
    <row r="54" spans="1:6" x14ac:dyDescent="0.2">
      <c r="A54" s="12">
        <v>1972</v>
      </c>
      <c r="B54" s="6">
        <v>33398</v>
      </c>
      <c r="C54" s="6">
        <v>21564</v>
      </c>
      <c r="E54" s="4">
        <f t="shared" si="1"/>
        <v>21564</v>
      </c>
      <c r="F54" s="7" t="s">
        <v>4</v>
      </c>
    </row>
    <row r="55" spans="1:6" x14ac:dyDescent="0.2">
      <c r="A55" s="12">
        <v>1971</v>
      </c>
      <c r="B55" s="6">
        <v>48172</v>
      </c>
      <c r="C55" s="6">
        <v>36090.914095999993</v>
      </c>
      <c r="E55" s="4">
        <f t="shared" si="1"/>
        <v>36090.914095999993</v>
      </c>
      <c r="F55" s="7" t="s">
        <v>4</v>
      </c>
    </row>
    <row r="56" spans="1:6" x14ac:dyDescent="0.2">
      <c r="A56" s="12">
        <v>1970</v>
      </c>
      <c r="B56" s="6">
        <v>50667</v>
      </c>
      <c r="C56" s="6">
        <v>29341.887999999999</v>
      </c>
      <c r="E56" s="4">
        <f t="shared" si="1"/>
        <v>29341.887999999999</v>
      </c>
      <c r="F56" s="7" t="s">
        <v>4</v>
      </c>
    </row>
    <row r="57" spans="1:6" x14ac:dyDescent="0.2">
      <c r="A57" s="12">
        <v>1969</v>
      </c>
      <c r="B57" s="6">
        <v>17352</v>
      </c>
      <c r="C57" s="6">
        <v>10710.591999999999</v>
      </c>
      <c r="E57" s="4">
        <f t="shared" si="1"/>
        <v>10710.591999999999</v>
      </c>
      <c r="F57" s="7" t="s">
        <v>4</v>
      </c>
    </row>
    <row r="58" spans="1:6" x14ac:dyDescent="0.2">
      <c r="A58" s="12">
        <v>1968</v>
      </c>
      <c r="B58" s="6">
        <v>81530</v>
      </c>
      <c r="C58" s="6">
        <v>45522.879999999997</v>
      </c>
      <c r="E58" s="4">
        <f t="shared" si="1"/>
        <v>45522.879999999997</v>
      </c>
      <c r="F58" s="7" t="s">
        <v>4</v>
      </c>
    </row>
    <row r="59" spans="1:6" x14ac:dyDescent="0.2">
      <c r="A59" s="12">
        <v>1967</v>
      </c>
      <c r="B59" s="6">
        <v>113232</v>
      </c>
      <c r="C59" s="6">
        <v>26964.096099999999</v>
      </c>
      <c r="E59" s="4">
        <f t="shared" si="1"/>
        <v>26964.096099999999</v>
      </c>
      <c r="F59" s="7" t="s">
        <v>4</v>
      </c>
    </row>
    <row r="60" spans="1:6" x14ac:dyDescent="0.2">
      <c r="A60" s="12">
        <v>1966</v>
      </c>
      <c r="B60" s="6">
        <v>127627.4941</v>
      </c>
      <c r="C60" s="6">
        <v>73659.03660159999</v>
      </c>
      <c r="E60" s="4">
        <f t="shared" si="1"/>
        <v>73659.03660159999</v>
      </c>
      <c r="F60" s="7" t="s">
        <v>4</v>
      </c>
    </row>
    <row r="61" spans="1:6" x14ac:dyDescent="0.2">
      <c r="A61" s="12">
        <v>1965</v>
      </c>
      <c r="B61" s="6">
        <v>30643.658599999999</v>
      </c>
      <c r="C61" s="6">
        <v>17879.291353599998</v>
      </c>
      <c r="E61" s="4">
        <f t="shared" si="1"/>
        <v>17879.291353599998</v>
      </c>
      <c r="F61" s="7" t="s">
        <v>4</v>
      </c>
    </row>
    <row r="62" spans="1:6" x14ac:dyDescent="0.2">
      <c r="A62" s="12">
        <v>1964</v>
      </c>
      <c r="B62" s="6">
        <v>39434.506999999998</v>
      </c>
      <c r="C62" s="6">
        <v>23251.556031999997</v>
      </c>
      <c r="E62" s="4">
        <f t="shared" si="1"/>
        <v>23251.556031999997</v>
      </c>
      <c r="F62" s="7" t="s">
        <v>4</v>
      </c>
    </row>
    <row r="63" spans="1:6" x14ac:dyDescent="0.2">
      <c r="A63" s="12">
        <v>1963</v>
      </c>
      <c r="B63" s="6">
        <v>45093.8387</v>
      </c>
      <c r="C63" s="6">
        <v>26237.731091199999</v>
      </c>
      <c r="E63" s="4">
        <f t="shared" si="1"/>
        <v>26237.731091199999</v>
      </c>
      <c r="F63" s="7" t="s">
        <v>4</v>
      </c>
    </row>
    <row r="64" spans="1:6" x14ac:dyDescent="0.2">
      <c r="A64" s="12">
        <v>1962</v>
      </c>
      <c r="B64" s="6">
        <v>12300.643399999999</v>
      </c>
      <c r="C64" s="6">
        <v>5430.5064545454543</v>
      </c>
      <c r="E64" s="4">
        <f t="shared" si="1"/>
        <v>5430.5064545454543</v>
      </c>
      <c r="F64" s="7" t="s">
        <v>4</v>
      </c>
    </row>
    <row r="65" spans="1:6" x14ac:dyDescent="0.2">
      <c r="A65" s="12">
        <v>1961</v>
      </c>
      <c r="B65" s="6">
        <v>7628.6464999999998</v>
      </c>
      <c r="C65" s="6">
        <v>3172.8978181818179</v>
      </c>
      <c r="E65" s="4">
        <f t="shared" si="1"/>
        <v>3172.8978181818179</v>
      </c>
      <c r="F65" s="7" t="s">
        <v>4</v>
      </c>
    </row>
    <row r="66" spans="1:6" x14ac:dyDescent="0.2">
      <c r="B66" s="8"/>
    </row>
    <row r="67" spans="1:6" x14ac:dyDescent="0.2">
      <c r="B67" s="8"/>
    </row>
    <row r="68" spans="1:6" x14ac:dyDescent="0.2">
      <c r="B68" s="8"/>
    </row>
    <row r="69" spans="1:6" x14ac:dyDescent="0.2">
      <c r="B69" s="8"/>
    </row>
    <row r="70" spans="1:6" x14ac:dyDescent="0.2">
      <c r="B70" s="8"/>
    </row>
    <row r="71" spans="1:6" x14ac:dyDescent="0.2">
      <c r="B71" s="8"/>
    </row>
    <row r="72" spans="1:6" x14ac:dyDescent="0.2">
      <c r="B72" s="8"/>
    </row>
    <row r="73" spans="1:6" x14ac:dyDescent="0.2">
      <c r="B73" s="8"/>
    </row>
    <row r="74" spans="1:6" x14ac:dyDescent="0.2">
      <c r="B74" s="8"/>
    </row>
    <row r="75" spans="1:6" x14ac:dyDescent="0.2">
      <c r="B75" s="8"/>
    </row>
  </sheetData>
  <hyperlinks>
    <hyperlink ref="J6" r:id="rId1" display="https://waves-vagues.dfo-mpo.gc.ca/library-bibliotheque/41273965.pdf" xr:uid="{92537672-5824-4B1C-B863-7C26B73DE65F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 Escapement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Powell, Thomas</dc:creator>
  <cp:lastModifiedBy>Stephanie Peacock</cp:lastModifiedBy>
  <dcterms:created xsi:type="dcterms:W3CDTF">2024-06-21T20:13:54Z</dcterms:created>
  <dcterms:modified xsi:type="dcterms:W3CDTF">2025-07-02T16:11:26Z</dcterms:modified>
</cp:coreProperties>
</file>